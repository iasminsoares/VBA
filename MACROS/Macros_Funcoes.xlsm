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7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trlProps/ctrlProp5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smin Borges Soares\Desktop\CursosWeb\VBA\"/>
    </mc:Choice>
  </mc:AlternateContent>
  <bookViews>
    <workbookView xWindow="0" yWindow="0" windowWidth="20490" windowHeight="7755" firstSheet="7" activeTab="10"/>
  </bookViews>
  <sheets>
    <sheet name="Cadastro" sheetId="1" r:id="rId1"/>
    <sheet name="Lista de clientes" sheetId="2" r:id="rId2"/>
    <sheet name="Dados" sheetId="3" r:id="rId3"/>
    <sheet name="Dados1" sheetId="4" r:id="rId4"/>
    <sheet name="Pesquisa Satisfação" sheetId="5" r:id="rId5"/>
    <sheet name="Desafio Pesquisa Satisfação" sheetId="6" r:id="rId6"/>
    <sheet name="Desafio Entrevista de emprego" sheetId="7" r:id="rId7"/>
    <sheet name="Desafio Form.Condicional" sheetId="8" r:id="rId8"/>
    <sheet name="Desafio Cx Listagem" sheetId="9" r:id="rId9"/>
    <sheet name="Cx de Combinação" sheetId="10" r:id="rId10"/>
    <sheet name="Plan1" sheetId="11" r:id="rId11"/>
  </sheets>
  <definedNames>
    <definedName name="Funcionarios">OFFSET('Desafio Cx Listagem'!$B$14,0,0,COUNTA('Desafio Cx Listagem'!$B$14:$B$1048576),1)</definedName>
    <definedName name="ListaDinamica">OFFSET(Dados1!$A$1,0,0,COUNTA(Dados1!$A:$A),1)</definedName>
    <definedName name="ListaDinamica2">OFFSET(Dados1!$B$1,0,0,COUNTA(Dados1!$B:$B),1)</definedName>
    <definedName name="Produtos">OFFSET('Desafio Cx Listagem'!$A$1,0,0,COUNTA('Desafio Cx Listagem'!$A:$A),1)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11" l="1"/>
  <c r="K2" i="11"/>
  <c r="L2" i="11"/>
  <c r="M2" i="11"/>
  <c r="N2" i="11"/>
  <c r="O2" i="11"/>
  <c r="I2" i="11"/>
  <c r="A3" i="10" l="1"/>
  <c r="B3" i="10"/>
  <c r="C3" i="10"/>
  <c r="D3" i="10"/>
  <c r="E3" i="10"/>
  <c r="F3" i="10"/>
  <c r="G3" i="10"/>
  <c r="B2" i="10"/>
  <c r="C2" i="10"/>
  <c r="D2" i="10"/>
  <c r="E2" i="10"/>
  <c r="F2" i="10"/>
  <c r="G2" i="10"/>
  <c r="A2" i="10"/>
  <c r="F14" i="9"/>
  <c r="E14" i="9"/>
  <c r="C8" i="9" l="1"/>
  <c r="C22" i="8"/>
  <c r="I1" i="8"/>
  <c r="C52" i="7" l="1"/>
  <c r="C56" i="7"/>
  <c r="C55" i="7"/>
  <c r="C54" i="7"/>
  <c r="C53" i="7"/>
  <c r="C51" i="7"/>
  <c r="C50" i="7"/>
  <c r="C49" i="7"/>
  <c r="E27" i="6"/>
  <c r="A7" i="5" l="1"/>
  <c r="C8" i="3" l="1" a="1"/>
  <c r="C8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<sst xmlns="http://schemas.openxmlformats.org/spreadsheetml/2006/main" count="216" uniqueCount="100">
  <si>
    <t>Criando um sistema de cadastro utilizando macros</t>
  </si>
  <si>
    <t>Cadastro de Cliente</t>
  </si>
  <si>
    <t>Nome</t>
  </si>
  <si>
    <t>Endereço</t>
  </si>
  <si>
    <t>Nº</t>
  </si>
  <si>
    <t>Bairro</t>
  </si>
  <si>
    <t>Cidade</t>
  </si>
  <si>
    <t>UF</t>
  </si>
  <si>
    <t>CEP</t>
  </si>
  <si>
    <t>Tel.Fixo</t>
  </si>
  <si>
    <t>Celular</t>
  </si>
  <si>
    <t>E-mail</t>
  </si>
  <si>
    <t xml:space="preserve">Endereço </t>
  </si>
  <si>
    <t>MG</t>
  </si>
  <si>
    <t>Yane Oliveira Santos</t>
  </si>
  <si>
    <t>Jardim Vitória</t>
  </si>
  <si>
    <t>BH</t>
  </si>
  <si>
    <t>Rua Prof Amilcar Viana Martins</t>
  </si>
  <si>
    <t>yaneosantos@gmail.com</t>
  </si>
  <si>
    <t>Estela Lourenço</t>
  </si>
  <si>
    <t>Rua abddffggkd</t>
  </si>
  <si>
    <t>Caiçara</t>
  </si>
  <si>
    <t>estela.lourenço@gmail.com</t>
  </si>
  <si>
    <t>Rayza Azevedo</t>
  </si>
  <si>
    <t>Rua XXXXX</t>
  </si>
  <si>
    <t>Nova Suiça</t>
  </si>
  <si>
    <t>67890-228</t>
  </si>
  <si>
    <t>rayza@gmail.com</t>
  </si>
  <si>
    <t>Teste</t>
  </si>
  <si>
    <t>Teste 2</t>
  </si>
  <si>
    <t>teste 3</t>
  </si>
  <si>
    <t>Teste 4</t>
  </si>
  <si>
    <t xml:space="preserve">Somatório utilizando caixas de combinação + Listas dinamicas </t>
  </si>
  <si>
    <t>Selecione valor de A</t>
  </si>
  <si>
    <t>Selecione valor de B</t>
  </si>
  <si>
    <t>somatório</t>
  </si>
  <si>
    <t>Pesquisa de Satisfação</t>
  </si>
  <si>
    <t>Gostou do curso?</t>
  </si>
  <si>
    <t>TABELA DE PREÇOS</t>
  </si>
  <si>
    <t>Chocolate amargo com pedaços de toffee</t>
  </si>
  <si>
    <t>Chocolate amargo com amêndoas</t>
  </si>
  <si>
    <t>Chocolate branco</t>
  </si>
  <si>
    <t>Chocolate ao leite com sal marinho</t>
  </si>
  <si>
    <t>Chocolate ao leite com frutas e nozes</t>
  </si>
  <si>
    <t>Frete</t>
  </si>
  <si>
    <t>Checklist de Produtos com apresentação do total a pagar</t>
  </si>
  <si>
    <t>VALOR TOTAL A SER PAGO:</t>
  </si>
  <si>
    <t>FOMULÁRIO DE CANDIDATURA DE EMPREGO</t>
  </si>
  <si>
    <t>Nome:</t>
  </si>
  <si>
    <t>Data de Nascimento:</t>
  </si>
  <si>
    <t>Ficha do candidato</t>
  </si>
  <si>
    <t>Data de nascimento:</t>
  </si>
  <si>
    <t>Estado civil:</t>
  </si>
  <si>
    <t>Nacionalidade:</t>
  </si>
  <si>
    <t>Habilitação:</t>
  </si>
  <si>
    <t>Situação atual:</t>
  </si>
  <si>
    <t>Disponibilidade/Turnos:</t>
  </si>
  <si>
    <t>Experiência vaga:</t>
  </si>
  <si>
    <t>Iasmin</t>
  </si>
  <si>
    <t>Funcionário</t>
  </si>
  <si>
    <t>Janeiro</t>
  </si>
  <si>
    <t>Fevereiro</t>
  </si>
  <si>
    <t>Março</t>
  </si>
  <si>
    <t>Abril</t>
  </si>
  <si>
    <t>Maio</t>
  </si>
  <si>
    <t>Junho</t>
  </si>
  <si>
    <t>Maria</t>
  </si>
  <si>
    <t>João</t>
  </si>
  <si>
    <t>Marcos</t>
  </si>
  <si>
    <t>José</t>
  </si>
  <si>
    <t>Sebastião</t>
  </si>
  <si>
    <t>Aline</t>
  </si>
  <si>
    <t>Michele</t>
  </si>
  <si>
    <t>Rodrigo</t>
  </si>
  <si>
    <t>Diferenças entre barra de rolagem e de rotação</t>
  </si>
  <si>
    <t>IDADE</t>
  </si>
  <si>
    <t>TARIFA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</si>
  <si>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</si>
  <si>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</si>
  <si>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</si>
  <si>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</si>
  <si>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</si>
  <si>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</si>
  <si>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</si>
  <si>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</si>
  <si>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</si>
  <si>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</si>
  <si>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Jan</t>
  </si>
  <si>
    <t>Julia</t>
  </si>
  <si>
    <t>Rogério</t>
  </si>
  <si>
    <t>Vanessa</t>
  </si>
  <si>
    <t>Renata</t>
  </si>
  <si>
    <t>David</t>
  </si>
  <si>
    <t>Controle</t>
  </si>
  <si>
    <t>VENDAS</t>
  </si>
  <si>
    <t>Fev</t>
  </si>
  <si>
    <t>Mar</t>
  </si>
  <si>
    <t>Abr</t>
  </si>
  <si>
    <t>Mai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</si>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</sst>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000\-000"/>
    <numFmt numFmtId="165" formatCode="\(00\)\ 0000\-0000"/>
    <numFmt numFmtId="166" formatCode="_-[$R$-416]\ * #,##0.00_-;\-[$R$-416]\ * #,##0.00_-;_-[$R$-416]\ * &quot;-&quot;??_-;_-@_-"/>
    <numFmt numFmtId="167" formatCode="&quot;R$&quot;\ #,##0.0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0"/>
      <name val="Arial Black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80">
    <xf numFmtId="0" fontId="0" fillId="0" borderId="0" xfId="0"/>
    <xf numFmtId="0" fontId="2" fillId="2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0" xfId="0" applyFont="1" applyFill="1" applyAlignment="1">
      <alignment horizontal="center" vertical="center"/>
    </xf>
    <xf numFmtId="0" fontId="0" fillId="0" borderId="1" xfId="0" applyBorder="1" applyProtection="1">
      <protection locked="0"/>
    </xf>
    <xf numFmtId="164" fontId="0" fillId="0" borderId="1" xfId="0" applyNumberFormat="1" applyBorder="1" applyAlignment="1" applyProtection="1">
      <alignment horizontal="left"/>
      <protection locked="0"/>
    </xf>
    <xf numFmtId="0" fontId="7" fillId="0" borderId="0" xfId="0" applyFont="1"/>
    <xf numFmtId="0" fontId="6" fillId="0" borderId="0" xfId="0" applyFont="1" applyAlignment="1">
      <alignment horizontal="left" indent="1"/>
    </xf>
    <xf numFmtId="0" fontId="9" fillId="0" borderId="0" xfId="0" applyFont="1"/>
    <xf numFmtId="0" fontId="10" fillId="0" borderId="0" xfId="0" applyFont="1"/>
    <xf numFmtId="166" fontId="0" fillId="0" borderId="1" xfId="2" applyNumberFormat="1" applyFont="1" applyBorder="1"/>
    <xf numFmtId="0" fontId="0" fillId="0" borderId="1" xfId="0" applyBorder="1" applyAlignment="1">
      <alignment horizontal="left"/>
    </xf>
    <xf numFmtId="166" fontId="7" fillId="0" borderId="1" xfId="0" applyNumberFormat="1" applyFont="1" applyBorder="1"/>
    <xf numFmtId="0" fontId="6" fillId="0" borderId="0" xfId="0" applyFont="1"/>
    <xf numFmtId="0" fontId="0" fillId="0" borderId="1" xfId="0" applyBorder="1"/>
    <xf numFmtId="0" fontId="13" fillId="4" borderId="1" xfId="0" applyFont="1" applyFill="1" applyBorder="1"/>
    <xf numFmtId="8" fontId="13" fillId="4" borderId="1" xfId="0" applyNumberFormat="1" applyFont="1" applyFill="1" applyBorder="1"/>
    <xf numFmtId="8" fontId="0" fillId="0" borderId="1" xfId="0" applyNumberFormat="1" applyBorder="1"/>
    <xf numFmtId="0" fontId="6" fillId="5" borderId="1" xfId="0" applyFont="1" applyFill="1" applyBorder="1"/>
    <xf numFmtId="0" fontId="6" fillId="5" borderId="0" xfId="0" applyFont="1" applyFill="1" applyAlignment="1">
      <alignment horizontal="center"/>
    </xf>
    <xf numFmtId="0" fontId="6" fillId="5" borderId="0" xfId="0" applyFont="1" applyFill="1" applyAlignment="1">
      <alignment horizontal="right"/>
    </xf>
    <xf numFmtId="0" fontId="1" fillId="6" borderId="1" xfId="0" applyFont="1" applyFill="1" applyBorder="1" applyAlignment="1">
      <alignment horizontal="center" vertical="center"/>
    </xf>
    <xf numFmtId="14" fontId="0" fillId="0" borderId="1" xfId="0" applyNumberFormat="1" applyFont="1" applyBorder="1" applyAlignment="1">
      <alignment horizontal="left" indent="1"/>
    </xf>
    <xf numFmtId="44" fontId="0" fillId="0" borderId="1" xfId="0" applyNumberFormat="1" applyFont="1" applyBorder="1"/>
    <xf numFmtId="167" fontId="0" fillId="0" borderId="1" xfId="0" applyNumberFormat="1" applyFont="1" applyBorder="1" applyAlignment="1">
      <alignment horizontal="left" indent="1"/>
    </xf>
    <xf numFmtId="44" fontId="0" fillId="0" borderId="1" xfId="2" applyFont="1" applyBorder="1" applyAlignment="1">
      <alignment horizontal="left" indent="1"/>
    </xf>
    <xf numFmtId="0" fontId="16" fillId="6" borderId="1" xfId="0" applyFont="1" applyFill="1" applyBorder="1" applyAlignment="1">
      <alignment horizontal="center" vertical="center"/>
    </xf>
    <xf numFmtId="14" fontId="14" fillId="0" borderId="1" xfId="0" applyNumberFormat="1" applyFont="1" applyBorder="1" applyAlignment="1">
      <alignment horizontal="left" indent="1"/>
    </xf>
    <xf numFmtId="44" fontId="14" fillId="0" borderId="1" xfId="0" applyNumberFormat="1" applyFont="1" applyBorder="1"/>
    <xf numFmtId="0" fontId="14" fillId="0" borderId="1" xfId="0" applyNumberFormat="1" applyFont="1" applyBorder="1"/>
    <xf numFmtId="44" fontId="14" fillId="0" borderId="1" xfId="0" applyNumberFormat="1" applyFont="1" applyBorder="1" applyAlignment="1">
      <alignment horizontal="left" indent="1"/>
    </xf>
    <xf numFmtId="0" fontId="0" fillId="0" borderId="1" xfId="0" applyNumberFormat="1" applyFont="1" applyBorder="1"/>
    <xf numFmtId="44" fontId="0" fillId="0" borderId="1" xfId="0" applyNumberFormat="1" applyFont="1" applyBorder="1" applyAlignment="1">
      <alignment horizontal="left" indent="1"/>
    </xf>
    <xf numFmtId="165" fontId="0" fillId="0" borderId="10" xfId="0" applyNumberFormat="1" applyBorder="1" applyAlignment="1" applyProtection="1">
      <alignment horizontal="center"/>
      <protection locked="0"/>
    </xf>
    <xf numFmtId="165" fontId="0" fillId="0" borderId="12" xfId="0" applyNumberFormat="1" applyBorder="1" applyAlignment="1" applyProtection="1">
      <alignment horizontal="center"/>
      <protection locked="0"/>
    </xf>
    <xf numFmtId="0" fontId="0" fillId="0" borderId="10" xfId="1" applyFont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3" fillId="2" borderId="0" xfId="0" applyFont="1" applyFill="1" applyAlignment="1">
      <alignment horizontal="center" vertical="center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7" fillId="6" borderId="8" xfId="0" applyFont="1" applyFill="1" applyBorder="1" applyAlignment="1">
      <alignment horizontal="center"/>
    </xf>
  </cellXfs>
  <cellStyles count="3">
    <cellStyle name="Hiperlink" xfId="1" builtinId="8"/>
    <cellStyle name="Moeda" xfId="2" builtinId="4"/>
    <cellStyle name="Normal" xfId="0" builtinId="0"/>
  </cellStyles>
  <dxfs count="7">
    <dxf>
      <font>
        <color auto="1"/>
      </font>
      <fill>
        <patternFill>
          <bgColor theme="7"/>
        </patternFill>
      </fill>
      <border>
        <top style="thin">
          <color rgb="FFFF0000"/>
        </top>
        <bottom style="thin">
          <color rgb="FFFF0000"/>
        </bottom>
        <vertical/>
        <horizontal/>
      </border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5"/>
        </patternFill>
      </fill>
    </dxf>
    <dxf>
      <font>
        <color auto="1"/>
      </font>
      <fill>
        <patternFill>
          <bgColor theme="7"/>
        </patternFill>
      </fill>
      <border>
        <top style="thin">
          <color rgb="FFFF0000"/>
        </top>
        <bottom style="thin">
          <color rgb="FFFF0000"/>
        </bottom>
        <vertical/>
        <horizontal/>
      </border>
    </dxf>
    <dxf>
      <font>
        <color auto="1"/>
      </font>
      <fill>
        <patternFill>
          <bgColor theme="7"/>
        </patternFill>
      </fill>
      <border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4"/>
        </patternFill>
      </fill>
      <border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372F7"/>
      <color rgb="FFF7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Comparador de desempenho de Funcionários</a:t>
            </a:r>
          </a:p>
        </c:rich>
      </c:tx>
      <c:layout>
        <c:manualLayout>
          <c:xMode val="edge"/>
          <c:yMode val="edge"/>
          <c:x val="1.7091513029763541E-2"/>
          <c:y val="2.5848137780750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'Cx de Combinação'!$A$2</c:f>
              <c:strCache>
                <c:ptCount val="1"/>
                <c:pt idx="0">
                  <c:v> Maria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'Cx de Combinação'!$B$1:$G$1</c:f>
              <c:strCache>
                <c:ptCount val="6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</c:strCache>
            </c:strRef>
          </c:cat>
          <c:val>
            <c:numRef>
              <c:f>'Cx de Combinação'!$B$2:$G$2</c:f>
              <c:numCache>
                <c:formatCode>_("R$"* #,##0.00_);_("R$"* \(#,##0.00\);_("R$"* "-"??_);_(@_)</c:formatCode>
                <c:ptCount val="6"/>
                <c:pt idx="0">
                  <c:v>30895.360000000001</c:v>
                </c:pt>
                <c:pt idx="1">
                  <c:v>28889.23</c:v>
                </c:pt>
                <c:pt idx="2">
                  <c:v>32789</c:v>
                </c:pt>
                <c:pt idx="3">
                  <c:v>30541.21</c:v>
                </c:pt>
                <c:pt idx="4">
                  <c:v>32789.5</c:v>
                </c:pt>
                <c:pt idx="5">
                  <c:v>22581.85</c:v>
                </c:pt>
              </c:numCache>
            </c:numRef>
          </c:val>
        </c:ser>
        <c:ser>
          <c:idx val="1"/>
          <c:order val="1"/>
          <c:tx>
            <c:strRef>
              <c:f>'Cx de Combinação'!$A$3</c:f>
              <c:strCache>
                <c:ptCount val="1"/>
                <c:pt idx="0">
                  <c:v> João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'Cx de Combinação'!$B$1:$G$1</c:f>
              <c:strCache>
                <c:ptCount val="6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</c:strCache>
            </c:strRef>
          </c:cat>
          <c:val>
            <c:numRef>
              <c:f>'Cx de Combinação'!$B$3:$G$3</c:f>
              <c:numCache>
                <c:formatCode>_("R$"* #,##0.00_);_("R$"* \(#,##0.00\);_("R$"* "-"??_);_(@_)</c:formatCode>
                <c:ptCount val="6"/>
                <c:pt idx="0">
                  <c:v>28354.21</c:v>
                </c:pt>
                <c:pt idx="1">
                  <c:v>29258.36</c:v>
                </c:pt>
                <c:pt idx="2">
                  <c:v>33258.1</c:v>
                </c:pt>
                <c:pt idx="3">
                  <c:v>34210.6</c:v>
                </c:pt>
                <c:pt idx="4">
                  <c:v>35124</c:v>
                </c:pt>
                <c:pt idx="5">
                  <c:v>34210.6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049869712"/>
        <c:axId val="-1049867536"/>
      </c:barChart>
      <c:catAx>
        <c:axId val="-104986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49867536"/>
        <c:crosses val="autoZero"/>
        <c:auto val="1"/>
        <c:lblAlgn val="ctr"/>
        <c:lblOffset val="100"/>
        <c:noMultiLvlLbl val="0"/>
      </c:catAx>
      <c:valAx>
        <c:axId val="-1049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4986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7056233595800527"/>
          <c:y val="5.40173553316819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831758530183727"/>
          <c:y val="0.2293055555555556"/>
          <c:w val="0.77112685914260715"/>
          <c:h val="0.663295056867891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Plan1!$I$2</c:f>
              <c:strCache>
                <c:ptCount val="1"/>
                <c:pt idx="0">
                  <c:v>Michele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Plan1!$J$1:$O$1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Plan1!$J$2:$O$2</c:f>
              <c:numCache>
                <c:formatCode>_("R$"* #,##0.00_);_("R$"* \(#,##0.00\);_("R$"* "-"??_);_(@_)</c:formatCode>
                <c:ptCount val="6"/>
                <c:pt idx="0">
                  <c:v>20778.009999999998</c:v>
                </c:pt>
                <c:pt idx="1">
                  <c:v>25893.14</c:v>
                </c:pt>
                <c:pt idx="2">
                  <c:v>22778.38</c:v>
                </c:pt>
                <c:pt idx="3">
                  <c:v>21697.27</c:v>
                </c:pt>
                <c:pt idx="4">
                  <c:v>30895.360000000001</c:v>
                </c:pt>
                <c:pt idx="5">
                  <c:v>28954.37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049857200"/>
        <c:axId val="-1049868624"/>
      </c:barChart>
      <c:catAx>
        <c:axId val="-10498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49868624"/>
        <c:crosses val="autoZero"/>
        <c:auto val="1"/>
        <c:lblAlgn val="ctr"/>
        <c:lblOffset val="100"/>
        <c:noMultiLvlLbl val="0"/>
      </c:catAx>
      <c:valAx>
        <c:axId val="-1049868624"/>
        <c:scaling>
          <c:orientation val="minMax"/>
          <c:max val="100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049857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6" fmlaLink="$E$4" fmlaRange="ListaDinamica" noThreeD="1" sel="9" val="3"/>
</file>

<file path=xl/ctrlProps/ctrlProp9.xml><?xml version="1.0" encoding="utf-8"?>
<formControlPr xmlns="http://schemas.microsoft.com/office/spreadsheetml/2009/9/main" objectType="Drop" dropStyle="combo" dx="26" fmlaLink="$E$6" fmlaRange="ListaDinamica2" noThreeD="1" sel="6" val="3"/>
</file>

<file path=xl/ctrlProps/ctrlProp10.xml><?xml version="1.0" encoding="utf-8"?>
<formControlPr xmlns="http://schemas.microsoft.com/office/spreadsheetml/2009/9/main" objectType="CheckBox" fmlaLink="$B$4" lockText="1" noThreeD="1"/>
</file>

<file path=xl/ctrlProps/ctrlProp11.xml><?xml version="1.0" encoding="utf-8"?>
<formControlPr xmlns="http://schemas.microsoft.com/office/spreadsheetml/2009/9/main" objectType="CheckBox" fmlaLink="$B$5" lockText="1" noThreeD="1"/>
</file>

<file path=xl/ctrlProps/ctrlProp12.xml><?xml version="1.0" encoding="utf-8"?>
<formControlPr xmlns="http://schemas.microsoft.com/office/spreadsheetml/2009/9/main" objectType="Radio" firstButton="1" fmlaLink="$F$4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fmlaLink="$I$8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CheckBox" checked="Checked" fmlaLink="$F$2" lockText="1" noThreeD="1"/>
</file>

<file path=xl/ctrlProps/ctrlProp19.xml><?xml version="1.0" encoding="utf-8"?>
<formControlPr xmlns="http://schemas.microsoft.com/office/spreadsheetml/2009/9/main" objectType="CheckBox" checked="Checked" fmlaLink="$F$3" lockText="1" noThreeD="1"/>
</file>

<file path=xl/ctrlProps/ctrlProp20.xml><?xml version="1.0" encoding="utf-8"?>
<formControlPr xmlns="http://schemas.microsoft.com/office/spreadsheetml/2009/9/main" objectType="CheckBox" checked="Checked" fmlaLink="$F$4" lockText="1" noThreeD="1"/>
</file>

<file path=xl/ctrlProps/ctrlProp21.xml><?xml version="1.0" encoding="utf-8"?>
<formControlPr xmlns="http://schemas.microsoft.com/office/spreadsheetml/2009/9/main" objectType="CheckBox" checked="Checked" fmlaLink="$F$5" lockText="1" noThreeD="1"/>
</file>

<file path=xl/ctrlProps/ctrlProp22.xml><?xml version="1.0" encoding="utf-8"?>
<formControlPr xmlns="http://schemas.microsoft.com/office/spreadsheetml/2009/9/main" objectType="CheckBox" checked="Checked" fmlaLink="$F$6" lockText="1" noThreeD="1"/>
</file>

<file path=xl/ctrlProps/ctrlProp23.xml><?xml version="1.0" encoding="utf-8"?>
<formControlPr xmlns="http://schemas.microsoft.com/office/spreadsheetml/2009/9/main" objectType="CheckBox" checked="Checked" fmlaLink="$F$7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checked="Checked" firstButton="1" fmlaLink="$C$9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Radio" firstButton="1" fmlaLink="$C$23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Radio" firstButton="1" fmlaLink="$C$28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Radio" firstButton="1" fmlaLink="$E$38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Radio" checked="Checked" firstButton="1" fmlaLink="$E$43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CheckBox" checked="Checked" fmlaLink="$C$18" lockText="1" noThreeD="1"/>
</file>

<file path=xl/ctrlProps/ctrlProp46.xml><?xml version="1.0" encoding="utf-8"?>
<formControlPr xmlns="http://schemas.microsoft.com/office/spreadsheetml/2009/9/main" objectType="CheckBox" checked="Checked" fmlaLink="$C$19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Scroll" dx="22" fmlaLink="$H$1" max="8" min="1" page="0" val="8"/>
</file>

<file path=xl/ctrlProps/ctrlProp49.xml><?xml version="1.0" encoding="utf-8"?>
<formControlPr xmlns="http://schemas.microsoft.com/office/spreadsheetml/2009/9/main" objectType="Spin" dx="22" fmlaLink="$B$18" max="30" min="18" page="10" val="18"/>
</file>

<file path=xl/ctrlProps/ctrlProp50.xml><?xml version="1.0" encoding="utf-8"?>
<formControlPr xmlns="http://schemas.microsoft.com/office/spreadsheetml/2009/9/main" objectType="Scroll" dx="22" fmlaLink="$D$23" horiz="1" max="100" page="5" val="11"/>
</file>

<file path=xl/ctrlProps/ctrlProp51.xml><?xml version="1.0" encoding="utf-8"?>
<formControlPr xmlns="http://schemas.microsoft.com/office/spreadsheetml/2009/9/main" objectType="List" dx="22" fmlaLink="$E$2" fmlaRange="Produtos" noThreeD="1" sel="4" val="0"/>
</file>

<file path=xl/ctrlProps/ctrlProp52.xml><?xml version="1.0" encoding="utf-8"?>
<formControlPr xmlns="http://schemas.microsoft.com/office/spreadsheetml/2009/9/main" objectType="List" dx="22" fmlaLink="$G$16" fmlaRange="Funcionarios" noThreeD="1" sel="6" val="0"/>
</file>

<file path=xl/ctrlProps/ctrlProp53.xml><?xml version="1.0" encoding="utf-8"?>
<formControlPr xmlns="http://schemas.microsoft.com/office/spreadsheetml/2009/9/main" objectType="Drop" dropStyle="combo" dx="16" fmlaLink="$H$2" fmlaRange="$A$20:$A$27" noThreeD="1" sel="1" val="0"/>
</file>

<file path=xl/ctrlProps/ctrlProp54.xml><?xml version="1.0" encoding="utf-8"?>
<formControlPr xmlns="http://schemas.microsoft.com/office/spreadsheetml/2009/9/main" objectType="Drop" dropStyle="combo" dx="16" fmlaLink="$H$3" fmlaRange="$A$20:$A$27" noThreeD="1" sel="2" val="0"/>
</file>

<file path=xl/ctrlProps/ctrlProp55.xml><?xml version="1.0" encoding="utf-8"?>
<formControlPr xmlns="http://schemas.microsoft.com/office/spreadsheetml/2009/9/main" objectType="Scroll" dx="22" fmlaLink="$P$2" max="13" min="1" page="0" val="7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85725</xdr:colOff>
          <xdr:row>18</xdr:row>
          <xdr:rowOff>123825</xdr:rowOff>
        </xdr:from>
        <xdr:to>
          <xdr:col>14</xdr:col>
          <xdr:colOff>19050</xdr:colOff>
          <xdr:row>20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190500</xdr:colOff>
          <xdr:row>18</xdr:row>
          <xdr:rowOff>123825</xdr:rowOff>
        </xdr:from>
        <xdr:to>
          <xdr:col>17</xdr:col>
          <xdr:colOff>57150</xdr:colOff>
          <xdr:row>20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228600</xdr:colOff>
          <xdr:row>18</xdr:row>
          <xdr:rowOff>123825</xdr:rowOff>
        </xdr:from>
        <xdr:to>
          <xdr:col>19</xdr:col>
          <xdr:colOff>676275</xdr:colOff>
          <xdr:row>20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 de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180975</xdr:rowOff>
        </xdr:from>
        <xdr:to>
          <xdr:col>1</xdr:col>
          <xdr:colOff>152400</xdr:colOff>
          <xdr:row>0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Classificar A-Z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304800</xdr:colOff>
          <xdr:row>0</xdr:row>
          <xdr:rowOff>180975</xdr:rowOff>
        </xdr:from>
        <xdr:to>
          <xdr:col>2</xdr:col>
          <xdr:colOff>133350</xdr:colOff>
          <xdr:row>0</xdr:row>
          <xdr:rowOff>447675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180975</xdr:rowOff>
        </xdr:from>
        <xdr:to>
          <xdr:col>3</xdr:col>
          <xdr:colOff>762000</xdr:colOff>
          <xdr:row>0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180975</xdr:rowOff>
        </xdr:from>
        <xdr:to>
          <xdr:col>5</xdr:col>
          <xdr:colOff>104775</xdr:colOff>
          <xdr:row>0</xdr:row>
          <xdr:rowOff>447675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57150</xdr:rowOff>
        </xdr:from>
        <xdr:to>
          <xdr:col>3</xdr:col>
          <xdr:colOff>581025</xdr:colOff>
          <xdr:row>4</xdr:row>
          <xdr:rowOff>133350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57150</xdr:rowOff>
        </xdr:from>
        <xdr:to>
          <xdr:col>3</xdr:col>
          <xdr:colOff>590550</xdr:colOff>
          <xdr:row>6</xdr:row>
          <xdr:rowOff>133350</xdr:rowOff>
        </xdr:to>
        <xdr:sp macro="" textlink="">
          <xdr:nvSpPr>
            <xdr:cNvPr id="3077" name="Drop Down 5" descr="Caixa 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171450</xdr:rowOff>
        </xdr:from>
        <xdr:to>
          <xdr:col>0</xdr:col>
          <xdr:colOff>600075</xdr:colOff>
          <xdr:row>4</xdr:row>
          <xdr:rowOff>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4</xdr:row>
          <xdr:rowOff>0</xdr:rowOff>
        </xdr:from>
        <xdr:to>
          <xdr:col>0</xdr:col>
          <xdr:colOff>600075</xdr:colOff>
          <xdr:row>5</xdr:row>
          <xdr:rowOff>19050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180975</xdr:rowOff>
        </xdr:from>
        <xdr:to>
          <xdr:col>5</xdr:col>
          <xdr:colOff>9525</xdr:colOff>
          <xdr:row>4</xdr:row>
          <xdr:rowOff>9525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180975</xdr:rowOff>
        </xdr:from>
        <xdr:to>
          <xdr:col>5</xdr:col>
          <xdr:colOff>9525</xdr:colOff>
          <xdr:row>5</xdr:row>
          <xdr:rowOff>9525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104775</xdr:rowOff>
        </xdr:from>
        <xdr:to>
          <xdr:col>7</xdr:col>
          <xdr:colOff>571500</xdr:colOff>
          <xdr:row>12</xdr:row>
          <xdr:rowOff>133350</xdr:rowOff>
        </xdr:to>
        <xdr:sp macro="" textlink="">
          <xdr:nvSpPr>
            <xdr:cNvPr id="4101" name="Group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É o seu primeiro curso de Macros e VBA?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0</xdr:rowOff>
        </xdr:from>
        <xdr:to>
          <xdr:col>5</xdr:col>
          <xdr:colOff>9525</xdr:colOff>
          <xdr:row>9</xdr:row>
          <xdr:rowOff>9525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8</xdr:row>
          <xdr:rowOff>171450</xdr:rowOff>
        </xdr:from>
        <xdr:to>
          <xdr:col>5</xdr:col>
          <xdr:colOff>66675</xdr:colOff>
          <xdr:row>10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11</xdr:row>
          <xdr:rowOff>114300</xdr:rowOff>
        </xdr:from>
        <xdr:to>
          <xdr:col>4</xdr:col>
          <xdr:colOff>542925</xdr:colOff>
          <xdr:row>23</xdr:row>
          <xdr:rowOff>9525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os produtos desejados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12</xdr:row>
          <xdr:rowOff>180975</xdr:rowOff>
        </xdr:from>
        <xdr:to>
          <xdr:col>3</xdr:col>
          <xdr:colOff>552450</xdr:colOff>
          <xdr:row>13</xdr:row>
          <xdr:rowOff>180975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amargo com pedaços de toffee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14</xdr:row>
          <xdr:rowOff>171450</xdr:rowOff>
        </xdr:from>
        <xdr:to>
          <xdr:col>3</xdr:col>
          <xdr:colOff>228600</xdr:colOff>
          <xdr:row>15</xdr:row>
          <xdr:rowOff>180975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amargo com amêndoas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16</xdr:row>
          <xdr:rowOff>180975</xdr:rowOff>
        </xdr:from>
        <xdr:to>
          <xdr:col>2</xdr:col>
          <xdr:colOff>38100</xdr:colOff>
          <xdr:row>18</xdr:row>
          <xdr:rowOff>19050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branco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19</xdr:row>
          <xdr:rowOff>0</xdr:rowOff>
        </xdr:from>
        <xdr:to>
          <xdr:col>3</xdr:col>
          <xdr:colOff>238125</xdr:colOff>
          <xdr:row>20</xdr:row>
          <xdr:rowOff>19050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ao leite com sal marinho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20</xdr:row>
          <xdr:rowOff>161925</xdr:rowOff>
        </xdr:from>
        <xdr:to>
          <xdr:col>3</xdr:col>
          <xdr:colOff>371475</xdr:colOff>
          <xdr:row>22</xdr:row>
          <xdr:rowOff>19050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ao leite com frutas e nozes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23</xdr:row>
          <xdr:rowOff>161925</xdr:rowOff>
        </xdr:from>
        <xdr:to>
          <xdr:col>1</xdr:col>
          <xdr:colOff>114300</xdr:colOff>
          <xdr:row>24</xdr:row>
          <xdr:rowOff>180975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Frete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9525</xdr:rowOff>
        </xdr:from>
        <xdr:to>
          <xdr:col>1</xdr:col>
          <xdr:colOff>885825</xdr:colOff>
          <xdr:row>14</xdr:row>
          <xdr:rowOff>180975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Estado Civil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7</xdr:row>
          <xdr:rowOff>171450</xdr:rowOff>
        </xdr:from>
        <xdr:to>
          <xdr:col>1</xdr:col>
          <xdr:colOff>238125</xdr:colOff>
          <xdr:row>9</xdr:row>
          <xdr:rowOff>9525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Solteiro(a)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9</xdr:row>
          <xdr:rowOff>66675</xdr:rowOff>
        </xdr:from>
        <xdr:to>
          <xdr:col>1</xdr:col>
          <xdr:colOff>361950</xdr:colOff>
          <xdr:row>10</xdr:row>
          <xdr:rowOff>95250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Casado(a)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10</xdr:row>
          <xdr:rowOff>152400</xdr:rowOff>
        </xdr:from>
        <xdr:to>
          <xdr:col>1</xdr:col>
          <xdr:colOff>257175</xdr:colOff>
          <xdr:row>11</xdr:row>
          <xdr:rowOff>180975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Separado(a)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12</xdr:row>
          <xdr:rowOff>57150</xdr:rowOff>
        </xdr:from>
        <xdr:to>
          <xdr:col>1</xdr:col>
          <xdr:colOff>219075</xdr:colOff>
          <xdr:row>13</xdr:row>
          <xdr:rowOff>85725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Divorciado(a)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16</xdr:row>
          <xdr:rowOff>9525</xdr:rowOff>
        </xdr:from>
        <xdr:to>
          <xdr:col>2</xdr:col>
          <xdr:colOff>0</xdr:colOff>
          <xdr:row>19</xdr:row>
          <xdr:rowOff>180975</xdr:rowOff>
        </xdr:to>
        <xdr:sp macro="" textlink="">
          <xdr:nvSpPr>
            <xdr:cNvPr id="7175" name="Group Box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Nacionalidade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20</xdr:row>
          <xdr:rowOff>180975</xdr:rowOff>
        </xdr:from>
        <xdr:to>
          <xdr:col>2</xdr:col>
          <xdr:colOff>9525</xdr:colOff>
          <xdr:row>25</xdr:row>
          <xdr:rowOff>0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Carteira de motorista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21</xdr:row>
          <xdr:rowOff>180975</xdr:rowOff>
        </xdr:from>
        <xdr:to>
          <xdr:col>1</xdr:col>
          <xdr:colOff>38100</xdr:colOff>
          <xdr:row>23</xdr:row>
          <xdr:rowOff>28575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23</xdr:row>
          <xdr:rowOff>104775</xdr:rowOff>
        </xdr:from>
        <xdr:to>
          <xdr:col>1</xdr:col>
          <xdr:colOff>85725</xdr:colOff>
          <xdr:row>24</xdr:row>
          <xdr:rowOff>104775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26</xdr:row>
          <xdr:rowOff>0</xdr:rowOff>
        </xdr:from>
        <xdr:to>
          <xdr:col>2</xdr:col>
          <xdr:colOff>0</xdr:colOff>
          <xdr:row>35</xdr:row>
          <xdr:rowOff>180975</xdr:rowOff>
        </xdr:to>
        <xdr:sp macro="" textlink="">
          <xdr:nvSpPr>
            <xdr:cNvPr id="7181" name="Group Box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Situação atual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27</xdr:row>
          <xdr:rowOff>19050</xdr:rowOff>
        </xdr:from>
        <xdr:to>
          <xdr:col>1</xdr:col>
          <xdr:colOff>276225</xdr:colOff>
          <xdr:row>28</xdr:row>
          <xdr:rowOff>38100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Estudante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28</xdr:row>
          <xdr:rowOff>114300</xdr:rowOff>
        </xdr:from>
        <xdr:to>
          <xdr:col>1</xdr:col>
          <xdr:colOff>180975</xdr:colOff>
          <xdr:row>29</xdr:row>
          <xdr:rowOff>133350</xdr:rowOff>
        </xdr:to>
        <xdr:sp macro="" textlink="">
          <xdr:nvSpPr>
            <xdr:cNvPr id="7184" name="Option Button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1° emprego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30</xdr:row>
          <xdr:rowOff>19050</xdr:rowOff>
        </xdr:from>
        <xdr:to>
          <xdr:col>1</xdr:col>
          <xdr:colOff>561975</xdr:colOff>
          <xdr:row>31</xdr:row>
          <xdr:rowOff>9525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Emprego a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31</xdr:row>
          <xdr:rowOff>85725</xdr:rowOff>
        </xdr:from>
        <xdr:to>
          <xdr:col>1</xdr:col>
          <xdr:colOff>542925</xdr:colOff>
          <xdr:row>32</xdr:row>
          <xdr:rowOff>133350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Emprego 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33</xdr:row>
          <xdr:rowOff>19050</xdr:rowOff>
        </xdr:from>
        <xdr:to>
          <xdr:col>1</xdr:col>
          <xdr:colOff>485775</xdr:colOff>
          <xdr:row>34</xdr:row>
          <xdr:rowOff>38100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Desempregado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37</xdr:row>
          <xdr:rowOff>0</xdr:rowOff>
        </xdr:from>
        <xdr:to>
          <xdr:col>3</xdr:col>
          <xdr:colOff>400050</xdr:colOff>
          <xdr:row>41</xdr:row>
          <xdr:rowOff>0</xdr:rowOff>
        </xdr:to>
        <xdr:sp macro="" textlink="">
          <xdr:nvSpPr>
            <xdr:cNvPr id="7188" name="Group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Disponibilidade para trabalhar em regime de turnos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209550</xdr:colOff>
          <xdr:row>37</xdr:row>
          <xdr:rowOff>180975</xdr:rowOff>
        </xdr:from>
        <xdr:to>
          <xdr:col>1</xdr:col>
          <xdr:colOff>114300</xdr:colOff>
          <xdr:row>39</xdr:row>
          <xdr:rowOff>19050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39</xdr:row>
          <xdr:rowOff>66675</xdr:rowOff>
        </xdr:from>
        <xdr:to>
          <xdr:col>1</xdr:col>
          <xdr:colOff>28575</xdr:colOff>
          <xdr:row>40</xdr:row>
          <xdr:rowOff>95250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41</xdr:row>
          <xdr:rowOff>180975</xdr:rowOff>
        </xdr:from>
        <xdr:to>
          <xdr:col>3</xdr:col>
          <xdr:colOff>390525</xdr:colOff>
          <xdr:row>46</xdr:row>
          <xdr:rowOff>9525</xdr:rowOff>
        </xdr:to>
        <xdr:sp macro="" textlink="">
          <xdr:nvSpPr>
            <xdr:cNvPr id="7191" name="Group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 experiência na área em que se candidata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42</xdr:row>
          <xdr:rowOff>180975</xdr:rowOff>
        </xdr:from>
        <xdr:to>
          <xdr:col>1</xdr:col>
          <xdr:colOff>47625</xdr:colOff>
          <xdr:row>43</xdr:row>
          <xdr:rowOff>180975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44</xdr:row>
          <xdr:rowOff>66675</xdr:rowOff>
        </xdr:from>
        <xdr:to>
          <xdr:col>1</xdr:col>
          <xdr:colOff>76200</xdr:colOff>
          <xdr:row>45</xdr:row>
          <xdr:rowOff>76200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16</xdr:row>
          <xdr:rowOff>161925</xdr:rowOff>
        </xdr:from>
        <xdr:to>
          <xdr:col>1</xdr:col>
          <xdr:colOff>409575</xdr:colOff>
          <xdr:row>18</xdr:row>
          <xdr:rowOff>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Brasileiro(a)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18</xdr:row>
          <xdr:rowOff>85725</xdr:rowOff>
        </xdr:from>
        <xdr:to>
          <xdr:col>1</xdr:col>
          <xdr:colOff>438150</xdr:colOff>
          <xdr:row>19</xdr:row>
          <xdr:rowOff>114300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Estrageiro(a)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13</xdr:row>
          <xdr:rowOff>142875</xdr:rowOff>
        </xdr:from>
        <xdr:to>
          <xdr:col>1</xdr:col>
          <xdr:colOff>228600</xdr:colOff>
          <xdr:row>14</xdr:row>
          <xdr:rowOff>171450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Viúvo(a)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9525</xdr:rowOff>
        </xdr:from>
        <xdr:to>
          <xdr:col>7</xdr:col>
          <xdr:colOff>457200</xdr:colOff>
          <xdr:row>9</xdr:row>
          <xdr:rowOff>9525</xdr:rowOff>
        </xdr:to>
        <xdr:sp macro="" textlink="">
          <xdr:nvSpPr>
            <xdr:cNvPr id="8193" name="Scroll Bar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16</xdr:row>
          <xdr:rowOff>9525</xdr:rowOff>
        </xdr:from>
        <xdr:to>
          <xdr:col>2</xdr:col>
          <xdr:colOff>619125</xdr:colOff>
          <xdr:row>18</xdr:row>
          <xdr:rowOff>180975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180975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1</xdr:row>
          <xdr:rowOff>0</xdr:rowOff>
        </xdr:from>
        <xdr:to>
          <xdr:col>3</xdr:col>
          <xdr:colOff>76200</xdr:colOff>
          <xdr:row>6</xdr:row>
          <xdr:rowOff>76200</xdr:rowOff>
        </xdr:to>
        <xdr:sp macro="" textlink="">
          <xdr:nvSpPr>
            <xdr:cNvPr id="10241" name="List Box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15</xdr:row>
          <xdr:rowOff>47625</xdr:rowOff>
        </xdr:from>
        <xdr:to>
          <xdr:col>5</xdr:col>
          <xdr:colOff>733425</xdr:colOff>
          <xdr:row>20</xdr:row>
          <xdr:rowOff>0</xdr:rowOff>
        </xdr:to>
        <xdr:sp macro="" textlink="">
          <xdr:nvSpPr>
            <xdr:cNvPr id="10243" name="List Box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6</xdr:col>
      <xdr:colOff>1057275</xdr:colOff>
      <xdr:row>17</xdr:row>
      <xdr:rowOff>171450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447675</xdr:colOff>
          <xdr:row>3</xdr:row>
          <xdr:rowOff>114300</xdr:rowOff>
        </xdr:from>
        <xdr:to>
          <xdr:col>5</xdr:col>
          <xdr:colOff>457200</xdr:colOff>
          <xdr:row>5</xdr:row>
          <xdr:rowOff>28575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914400</xdr:colOff>
          <xdr:row>3</xdr:row>
          <xdr:rowOff>114300</xdr:rowOff>
        </xdr:from>
        <xdr:to>
          <xdr:col>6</xdr:col>
          <xdr:colOff>923925</xdr:colOff>
          <xdr:row>5</xdr:row>
          <xdr:rowOff>28575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565892</xdr:colOff>
      <xdr:row>3</xdr:row>
      <xdr:rowOff>144000</xdr:rowOff>
    </xdr:from>
    <xdr:to>
      <xdr:col>5</xdr:col>
      <xdr:colOff>809380</xdr:colOff>
      <xdr:row>5</xdr:row>
      <xdr:rowOff>1125</xdr:rowOff>
    </xdr:to>
    <xdr:sp macro="" textlink="">
      <xdr:nvSpPr>
        <xdr:cNvPr id="4" name="CaixaDeTexto 3"/>
        <xdr:cNvSpPr txBox="1"/>
      </xdr:nvSpPr>
      <xdr:spPr>
        <a:xfrm>
          <a:off x="5671292" y="144000"/>
          <a:ext cx="243488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104775</xdr:colOff>
      <xdr:row>2</xdr:row>
      <xdr:rowOff>166686</xdr:rowOff>
    </xdr:from>
    <xdr:to>
      <xdr:col>12</xdr:col>
      <xdr:colOff>390525</xdr:colOff>
      <xdr:row>18</xdr:row>
      <xdr:rowOff>57149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390525</xdr:colOff>
          <xdr:row>2</xdr:row>
          <xdr:rowOff>171450</xdr:rowOff>
        </xdr:from>
        <xdr:to>
          <xdr:col>12</xdr:col>
          <xdr:colOff>609600</xdr:colOff>
          <xdr:row>18</xdr:row>
          <xdr:rowOff>57150</xdr:rowOff>
        </xdr:to>
        <xdr:sp macro="" textlink="">
          <xdr:nvSpPr>
            <xdr:cNvPr id="13313" name="Scroll Bar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7</xdr:col>
      <xdr:colOff>171450</xdr:colOff>
      <xdr:row>3</xdr:row>
      <xdr:rowOff>114300</xdr:rowOff>
    </xdr:from>
    <xdr:to>
      <xdr:col>9</xdr:col>
      <xdr:colOff>47115</xdr:colOff>
      <xdr:row>5</xdr:row>
      <xdr:rowOff>76086</xdr:rowOff>
    </xdr:to>
    <xdr:sp macro="" textlink="">
      <xdr:nvSpPr>
        <xdr:cNvPr id="3" name="CaixaDeTexto 2"/>
        <xdr:cNvSpPr txBox="1"/>
      </xdr:nvSpPr>
      <xdr:spPr>
        <a:xfrm>
          <a:off x="6248400" y="828675"/>
          <a:ext cx="12472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Funcionário: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A2:J10" totalsRowShown="0" headerRowDxfId="6">
  <autoFilter ref="A2:J10"/>
  <sortState ref="A3:J8">
    <sortCondition ref="A3:A8"/>
  </sortState>
  <tableColumns count="10">
    <tableColumn id="1" name="Nome"/>
    <tableColumn id="2" name="Endereço "/>
    <tableColumn id="3" name="Nº"/>
    <tableColumn id="4" name="Bairro"/>
    <tableColumn id="5" name="Cidade"/>
    <tableColumn id="6" name="UF"/>
    <tableColumn id="7" name="CEP"/>
    <tableColumn id="8" name="Tel.Fixo"/>
    <tableColumn id="9" name="Celular"/>
    <tableColumn id="10" name="E-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ctrlProp" Target="../ctrlProps/ctrlProp24.x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U21"/>
  <sheetViews>
    <sheetView showGridLines="0" workbookViewId="0">
      <selection activeCell="K9" sqref="K9:T9"/>
    </sheetView>
  </sheetViews>
  <sheetFormatPr defaultRowHeight="15" x14ac:dyDescent="0.25"/>
  <cols>
    <col min="4" max="4" width="3.7109375" customWidth="1"/>
    <col min="7" max="8" width="3.7109375" customWidth="1"/>
    <col min="10" max="10" width="3.7109375" customWidth="1"/>
    <col min="11" max="11" width="7.5703125" customWidth="1"/>
    <col min="12" max="12" width="6.28515625" customWidth="1"/>
    <col min="13" max="14" width="2.7109375" customWidth="1"/>
    <col min="15" max="15" width="11.85546875" customWidth="1"/>
    <col min="16" max="17" width="3.7109375" customWidth="1"/>
    <col min="19" max="19" width="2.7109375" customWidth="1"/>
    <col min="20" max="20" width="13.140625" customWidth="1"/>
    <col min="21" max="21" width="3.7109375" customWidth="1"/>
  </cols>
  <sheetData>
    <row r="1" spans="1:21" s="1" customFormat="1" ht="33" customHeight="1" x14ac:dyDescent="0.25">
      <c r="A1" s="1" t="s">
        <v>0</v>
      </c>
    </row>
    <row r="4" spans="1:21" x14ac:dyDescent="0.25">
      <c r="J4" s="46" t="s">
        <v>1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</row>
    <row r="5" spans="1:21" x14ac:dyDescent="0.25"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</row>
    <row r="6" spans="1:21" x14ac:dyDescent="0.25"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</row>
    <row r="7" spans="1:21" ht="10.15" customHeight="1" x14ac:dyDescent="0.25">
      <c r="J7" s="2"/>
      <c r="K7" s="3"/>
      <c r="L7" s="3"/>
      <c r="M7" s="3"/>
      <c r="N7" s="3"/>
      <c r="O7" s="3"/>
      <c r="P7" s="3"/>
      <c r="Q7" s="3"/>
      <c r="R7" s="3"/>
      <c r="S7" s="3"/>
      <c r="T7" s="3"/>
      <c r="U7" s="4"/>
    </row>
    <row r="8" spans="1:21" x14ac:dyDescent="0.25">
      <c r="J8" s="5"/>
      <c r="K8" s="6" t="s">
        <v>2</v>
      </c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x14ac:dyDescent="0.25">
      <c r="J9" s="5"/>
      <c r="K9" s="47"/>
      <c r="L9" s="48"/>
      <c r="M9" s="48"/>
      <c r="N9" s="48"/>
      <c r="O9" s="48"/>
      <c r="P9" s="48"/>
      <c r="Q9" s="48"/>
      <c r="R9" s="48"/>
      <c r="S9" s="48"/>
      <c r="T9" s="49"/>
      <c r="U9" s="7"/>
    </row>
    <row r="10" spans="1:21" x14ac:dyDescent="0.25">
      <c r="J10" s="5"/>
      <c r="K10" s="6" t="s">
        <v>3</v>
      </c>
      <c r="L10" s="6"/>
      <c r="M10" s="6"/>
      <c r="N10" s="6"/>
      <c r="O10" s="6"/>
      <c r="P10" s="6"/>
      <c r="Q10" s="6"/>
      <c r="R10" s="6"/>
      <c r="S10" s="6" t="s">
        <v>4</v>
      </c>
      <c r="T10" s="6"/>
      <c r="U10" s="7"/>
    </row>
    <row r="11" spans="1:21" x14ac:dyDescent="0.25">
      <c r="J11" s="5"/>
      <c r="K11" s="47"/>
      <c r="L11" s="48"/>
      <c r="M11" s="48"/>
      <c r="N11" s="48"/>
      <c r="O11" s="48"/>
      <c r="P11" s="48"/>
      <c r="Q11" s="49"/>
      <c r="R11" s="6"/>
      <c r="S11" s="50"/>
      <c r="T11" s="45"/>
      <c r="U11" s="7"/>
    </row>
    <row r="12" spans="1:21" x14ac:dyDescent="0.25">
      <c r="J12" s="5"/>
      <c r="K12" s="6" t="s">
        <v>5</v>
      </c>
      <c r="L12" s="6"/>
      <c r="M12" s="6"/>
      <c r="N12" s="6"/>
      <c r="O12" s="6" t="s">
        <v>6</v>
      </c>
      <c r="P12" s="6"/>
      <c r="Q12" s="6"/>
      <c r="R12" s="6" t="s">
        <v>7</v>
      </c>
      <c r="S12" s="6"/>
      <c r="T12" s="6" t="s">
        <v>8</v>
      </c>
      <c r="U12" s="7"/>
    </row>
    <row r="13" spans="1:21" x14ac:dyDescent="0.25">
      <c r="J13" s="5"/>
      <c r="K13" s="47"/>
      <c r="L13" s="48"/>
      <c r="M13" s="49"/>
      <c r="N13" s="6"/>
      <c r="O13" s="47"/>
      <c r="P13" s="49"/>
      <c r="Q13" s="6"/>
      <c r="R13" s="12"/>
      <c r="S13" s="6"/>
      <c r="T13" s="13"/>
      <c r="U13" s="7"/>
    </row>
    <row r="14" spans="1:21" x14ac:dyDescent="0.25">
      <c r="J14" s="5"/>
      <c r="K14" s="6" t="s">
        <v>9</v>
      </c>
      <c r="L14" s="6"/>
      <c r="M14" s="6"/>
      <c r="N14" s="6" t="s">
        <v>10</v>
      </c>
      <c r="O14" s="6"/>
      <c r="P14" s="6"/>
      <c r="Q14" s="6" t="s">
        <v>11</v>
      </c>
      <c r="R14" s="6"/>
      <c r="S14" s="6"/>
      <c r="T14" s="6"/>
      <c r="U14" s="7"/>
    </row>
    <row r="15" spans="1:21" x14ac:dyDescent="0.25">
      <c r="J15" s="5"/>
      <c r="K15" s="41"/>
      <c r="L15" s="42"/>
      <c r="M15" s="6"/>
      <c r="N15" s="41"/>
      <c r="O15" s="42"/>
      <c r="P15" s="6"/>
      <c r="Q15" s="43"/>
      <c r="R15" s="44"/>
      <c r="S15" s="44"/>
      <c r="T15" s="45"/>
      <c r="U15" s="7"/>
    </row>
    <row r="16" spans="1:21" ht="9" customHeight="1" x14ac:dyDescent="0.25">
      <c r="J16" s="5"/>
      <c r="K16" s="6"/>
      <c r="L16" s="6"/>
      <c r="M16" s="6"/>
      <c r="N16" s="6"/>
      <c r="O16" s="6"/>
      <c r="P16" s="6"/>
      <c r="Q16" s="6"/>
      <c r="R16" s="6"/>
      <c r="S16" s="6"/>
      <c r="T16" s="6"/>
      <c r="U16" s="7"/>
    </row>
    <row r="17" spans="10:21" ht="4.9000000000000004" customHeight="1" x14ac:dyDescent="0.25">
      <c r="J17" s="8"/>
      <c r="K17" s="9"/>
      <c r="L17" s="9"/>
      <c r="M17" s="9"/>
      <c r="N17" s="9"/>
      <c r="O17" s="9"/>
      <c r="P17" s="9"/>
      <c r="Q17" s="9"/>
      <c r="R17" s="9"/>
      <c r="S17" s="9"/>
      <c r="T17" s="9"/>
      <c r="U17" s="10"/>
    </row>
    <row r="18" spans="10:21" ht="3.6" customHeight="1" x14ac:dyDescent="0.25"/>
    <row r="19" spans="10:21" x14ac:dyDescent="0.25">
      <c r="J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4"/>
    </row>
    <row r="20" spans="10:21" x14ac:dyDescent="0.25">
      <c r="J20" s="5"/>
      <c r="K20" s="6"/>
      <c r="L20" s="6"/>
      <c r="M20" s="6"/>
      <c r="N20" s="6"/>
      <c r="O20" s="6"/>
      <c r="P20" s="6"/>
      <c r="Q20" s="6"/>
      <c r="R20" s="6"/>
      <c r="S20" s="6"/>
      <c r="T20" s="6"/>
      <c r="U20" s="7"/>
    </row>
    <row r="21" spans="10:21" x14ac:dyDescent="0.25">
      <c r="J21" s="8"/>
      <c r="K21" s="9"/>
      <c r="L21" s="9"/>
      <c r="M21" s="9"/>
      <c r="N21" s="9"/>
      <c r="O21" s="9"/>
      <c r="P21" s="9"/>
      <c r="Q21" s="9"/>
      <c r="R21" s="9"/>
      <c r="S21" s="9"/>
      <c r="T21" s="9"/>
      <c r="U21" s="10"/>
    </row>
  </sheetData>
  <sheetProtection selectLockedCells="1"/>
  <mergeCells count="9">
    <mergeCell ref="K15:L15"/>
    <mergeCell ref="N15:O15"/>
    <mergeCell ref="Q15:T15"/>
    <mergeCell ref="J4:U6"/>
    <mergeCell ref="K9:T9"/>
    <mergeCell ref="K11:Q11"/>
    <mergeCell ref="S11:T11"/>
    <mergeCell ref="K13:M13"/>
    <mergeCell ref="O13:P13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astrar2">
                <anchor>
                  <from>
                    <xdr:col>10</xdr:col>
                    <xdr:colOff>85725</xdr:colOff>
                    <xdr:row>18</xdr:row>
                    <xdr:rowOff>123825</xdr:rowOff>
                  </from>
                  <to>
                    <xdr:col>14</xdr:col>
                    <xdr:colOff>19050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ar">
                <anchor>
                  <from>
                    <xdr:col>14</xdr:col>
                    <xdr:colOff>190500</xdr:colOff>
                    <xdr:row>18</xdr:row>
                    <xdr:rowOff>123825</xdr:rowOff>
                  </from>
                  <to>
                    <xdr:col>17</xdr:col>
                    <xdr:colOff>57150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ista_De_Cliente">
                <anchor>
                  <from>
                    <xdr:col>17</xdr:col>
                    <xdr:colOff>228600</xdr:colOff>
                    <xdr:row>18</xdr:row>
                    <xdr:rowOff>123825</xdr:rowOff>
                  </from>
                  <to>
                    <xdr:col>19</xdr:col>
                    <xdr:colOff>676275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J10"/>
  <sheetViews>
    <sheetView workbookViewId="0">
      <selection activeCell="A10" sqref="A10"/>
    </sheetView>
  </sheetViews>
  <sheetFormatPr defaultRowHeight="15" x14ac:dyDescent="0.25"/>
  <cols>
    <col min="1" max="1" width="17.7109375" customWidth="1"/>
    <col min="2" max="2" width="19.28515625" customWidth="1"/>
    <col min="3" max="3" width="8" customWidth="1"/>
    <col min="4" max="4" width="13.85546875" customWidth="1"/>
    <col min="5" max="5" width="13.7109375" customWidth="1"/>
    <col min="6" max="6" width="8" customWidth="1"/>
    <col min="7" max="7" width="10.7109375" customWidth="1"/>
    <col min="8" max="9" width="12.7109375" customWidth="1"/>
    <col min="10" max="10" width="31.42578125" bestFit="1" customWidth="1"/>
  </cols>
  <sheetData>
    <row r="1" spans="1:10" ht="47.45" customHeight="1" x14ac:dyDescent="0.25"/>
    <row r="2" spans="1:10" x14ac:dyDescent="0.25">
      <c r="A2" s="11" t="s">
        <v>2</v>
      </c>
      <c r="B2" s="11" t="s">
        <v>12</v>
      </c>
      <c r="C2" s="11" t="s">
        <v>4</v>
      </c>
      <c r="D2" s="11" t="s">
        <v>5</v>
      </c>
      <c r="E2" s="11" t="s">
        <v>6</v>
      </c>
      <c r="F2" s="11" t="s">
        <v>7</v>
      </c>
      <c r="G2" s="11" t="s">
        <v>8</v>
      </c>
      <c r="H2" s="11" t="s">
        <v>9</v>
      </c>
      <c r="I2" s="11" t="s">
        <v>10</v>
      </c>
      <c r="J2" s="11" t="s">
        <v>11</v>
      </c>
    </row>
    <row r="3" spans="1:10" x14ac:dyDescent="0.25">
      <c r="A3" t="s">
        <v>29</v>
      </c>
      <c r="B3" t="s">
        <v>29</v>
      </c>
      <c r="C3" t="s">
        <v>29</v>
      </c>
      <c r="D3" t="s">
        <v>29</v>
      </c>
      <c r="E3" t="s">
        <v>29</v>
      </c>
      <c r="F3" t="s">
        <v>29</v>
      </c>
      <c r="G3" t="s">
        <v>29</v>
      </c>
      <c r="H3" t="s">
        <v>29</v>
      </c>
      <c r="I3" t="s">
        <v>29</v>
      </c>
      <c r="J3" t="s">
        <v>29</v>
      </c>
    </row>
    <row r="4" spans="1:10" x14ac:dyDescent="0.25">
      <c r="A4" t="s">
        <v>23</v>
      </c>
      <c r="B4" t="s">
        <v>24</v>
      </c>
      <c r="C4">
        <v>45</v>
      </c>
      <c r="D4" t="s">
        <v>25</v>
      </c>
      <c r="E4" t="s">
        <v>16</v>
      </c>
      <c r="F4" t="s">
        <v>13</v>
      </c>
      <c r="G4" t="s">
        <v>26</v>
      </c>
      <c r="H4">
        <v>21986709</v>
      </c>
      <c r="I4">
        <v>31567234</v>
      </c>
      <c r="J4" t="s">
        <v>27</v>
      </c>
    </row>
    <row r="5" spans="1:10" x14ac:dyDescent="0.25">
      <c r="A5" t="s">
        <v>19</v>
      </c>
      <c r="B5" t="s">
        <v>20</v>
      </c>
      <c r="C5">
        <v>68</v>
      </c>
      <c r="D5" t="s">
        <v>21</v>
      </c>
      <c r="E5" t="s">
        <v>16</v>
      </c>
      <c r="G5">
        <v>34563220</v>
      </c>
      <c r="H5">
        <v>3132347689</v>
      </c>
      <c r="I5">
        <v>3187431290</v>
      </c>
      <c r="J5" t="s">
        <v>22</v>
      </c>
    </row>
    <row r="6" spans="1:10" x14ac:dyDescent="0.25">
      <c r="A6" t="s">
        <v>14</v>
      </c>
      <c r="B6" t="s">
        <v>17</v>
      </c>
      <c r="C6">
        <v>35</v>
      </c>
      <c r="D6" t="s">
        <v>15</v>
      </c>
      <c r="E6" t="s">
        <v>16</v>
      </c>
      <c r="F6" t="s">
        <v>13</v>
      </c>
      <c r="G6">
        <v>31975220</v>
      </c>
      <c r="H6">
        <v>3132939000</v>
      </c>
      <c r="I6">
        <v>3175321176</v>
      </c>
      <c r="J6" t="s">
        <v>18</v>
      </c>
    </row>
    <row r="7" spans="1:10" x14ac:dyDescent="0.25">
      <c r="A7" t="s">
        <v>28</v>
      </c>
      <c r="B7" t="s">
        <v>28</v>
      </c>
      <c r="C7" t="s">
        <v>28</v>
      </c>
      <c r="D7" t="s">
        <v>28</v>
      </c>
      <c r="E7" t="s">
        <v>28</v>
      </c>
      <c r="F7" t="s">
        <v>28</v>
      </c>
      <c r="G7" t="s">
        <v>28</v>
      </c>
      <c r="H7" t="s">
        <v>28</v>
      </c>
      <c r="I7" t="s">
        <v>28</v>
      </c>
      <c r="J7" t="s">
        <v>28</v>
      </c>
    </row>
    <row r="8" spans="1:10" x14ac:dyDescent="0.25">
      <c r="A8" t="s">
        <v>30</v>
      </c>
      <c r="B8" t="s">
        <v>30</v>
      </c>
      <c r="C8" t="s">
        <v>30</v>
      </c>
      <c r="D8" t="s">
        <v>30</v>
      </c>
      <c r="E8" t="s">
        <v>30</v>
      </c>
      <c r="F8" t="s">
        <v>30</v>
      </c>
      <c r="G8" t="s">
        <v>30</v>
      </c>
      <c r="H8" t="s">
        <v>30</v>
      </c>
      <c r="I8" t="s">
        <v>30</v>
      </c>
      <c r="J8" t="s">
        <v>30</v>
      </c>
    </row>
    <row r="9" spans="1:10" x14ac:dyDescent="0.25">
      <c r="A9" t="s">
        <v>29</v>
      </c>
      <c r="B9" t="s">
        <v>29</v>
      </c>
      <c r="C9" t="s">
        <v>29</v>
      </c>
      <c r="D9" t="s">
        <v>29</v>
      </c>
      <c r="E9" t="s">
        <v>29</v>
      </c>
      <c r="F9" t="s">
        <v>29</v>
      </c>
      <c r="G9" t="s">
        <v>29</v>
      </c>
      <c r="H9" t="s">
        <v>29</v>
      </c>
      <c r="I9" t="s">
        <v>29</v>
      </c>
      <c r="J9" t="s">
        <v>29</v>
      </c>
    </row>
    <row r="10" spans="1:10" x14ac:dyDescent="0.25">
      <c r="A10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assificar">
                <anchor>
                  <from>
                    <xdr:col>0</xdr:col>
                    <xdr:colOff>57150</xdr:colOff>
                    <xdr:row>0</xdr:row>
                    <xdr:rowOff>180975</xdr:rowOff>
                  </from>
                  <to>
                    <xdr:col>1</xdr:col>
                    <xdr:colOff>152400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ar">
                <anchor>
                  <from>
                    <xdr:col>1</xdr:col>
                    <xdr:colOff>304800</xdr:colOff>
                    <xdr:row>0</xdr:row>
                    <xdr:rowOff>180975</xdr:rowOff>
                  </from>
                  <to>
                    <xdr:col>2</xdr:col>
                    <xdr:colOff>133350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oltar">
                <anchor>
                  <from>
                    <xdr:col>2</xdr:col>
                    <xdr:colOff>276225</xdr:colOff>
                    <xdr:row>0</xdr:row>
                    <xdr:rowOff>180975</xdr:rowOff>
                  </from>
                  <to>
                    <xdr:col>3</xdr:col>
                    <xdr:colOff>762000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cluirLinhaCliente">
                <anchor>
                  <from>
                    <xdr:col>4</xdr:col>
                    <xdr:colOff>0</xdr:colOff>
                    <xdr:row>0</xdr:row>
                    <xdr:rowOff>180975</xdr:rowOff>
                  </from>
                  <to>
                    <xdr:col>5</xdr:col>
                    <xdr:colOff>104775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11"/>
  <sheetViews>
    <sheetView workbookViewId="0">
      <selection activeCell="I7" sqref="I7"/>
    </sheetView>
  </sheetViews>
  <sheetFormatPr defaultRowHeight="15" x14ac:dyDescent="0.25"/>
  <sheetData>
    <row r="1" spans="1:9" ht="21.6" customHeight="1" x14ac:dyDescent="0.25">
      <c r="A1" s="51" t="s">
        <v>32</v>
      </c>
      <c r="B1" s="51"/>
      <c r="C1" s="51"/>
      <c r="D1" s="51"/>
      <c r="E1" s="51"/>
      <c r="F1" s="51"/>
      <c r="G1" s="51"/>
      <c r="H1" s="51"/>
    </row>
    <row r="4" spans="1:9" x14ac:dyDescent="0.25">
      <c r="A4" s="52" t="s">
        <v>33</v>
      </c>
      <c r="B4" s="52"/>
      <c r="C4" s="54"/>
      <c r="D4" s="55"/>
      <c r="E4" s="52">
        <v>9</v>
      </c>
    </row>
    <row r="5" spans="1:9" x14ac:dyDescent="0.25">
      <c r="A5" s="52"/>
      <c r="B5" s="52"/>
      <c r="C5" s="56"/>
      <c r="D5" s="57"/>
      <c r="E5" s="52"/>
    </row>
    <row r="6" spans="1:9" x14ac:dyDescent="0.25">
      <c r="A6" s="52" t="s">
        <v>34</v>
      </c>
      <c r="B6" s="52"/>
      <c r="C6" s="54"/>
      <c r="D6" s="55"/>
      <c r="E6" s="52">
        <v>6</v>
      </c>
    </row>
    <row r="7" spans="1:9" x14ac:dyDescent="0.25">
      <c r="A7" s="52"/>
      <c r="B7" s="52"/>
      <c r="C7" s="56"/>
      <c r="D7" s="57"/>
      <c r="E7" s="52"/>
    </row>
    <row r="8" spans="1:9" x14ac:dyDescent="0.25">
      <c r="A8" s="53" t="s">
        <v>35</v>
      </c>
      <c r="B8" s="53"/>
      <c r="C8" s="58" cm="1">
        <f t="array" ref="C8">INDEX(Dados1!A:A,Dados!E4,1)+INDEX(Dados1!B:B,Dados!E6,1)</f>
        <v>38</v>
      </c>
      <c r="D8" s="59"/>
      <c r="E8" s="60"/>
    </row>
    <row r="11" spans="1:9" ht="18.75" x14ac:dyDescent="0.3">
      <c r="I11" s="14"/>
    </row>
  </sheetData>
  <mergeCells count="9">
    <mergeCell ref="A1:H1"/>
    <mergeCell ref="A4:B5"/>
    <mergeCell ref="A6:B7"/>
    <mergeCell ref="A8:B8"/>
    <mergeCell ref="E4:E5"/>
    <mergeCell ref="E6:E7"/>
    <mergeCell ref="C4:D5"/>
    <mergeCell ref="C6:D7"/>
    <mergeCell ref="C8:E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Drop Down 2">
              <controlPr defaultSize="0" autoLine="0" autoPict="0">
                <anchor moveWithCells="1">
                  <from>
                    <xdr:col>2</xdr:col>
                    <xdr:colOff>28575</xdr:colOff>
                    <xdr:row>3</xdr:row>
                    <xdr:rowOff>57150</xdr:rowOff>
                  </from>
                  <to>
                    <xdr:col>3</xdr:col>
                    <xdr:colOff>581025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Drop Down 5">
              <controlPr defaultSize="0" autoLine="0" autoPict="0" altText="Caixa 2">
                <anchor moveWithCells="1">
                  <from>
                    <xdr:col>2</xdr:col>
                    <xdr:colOff>28575</xdr:colOff>
                    <xdr:row>5</xdr:row>
                    <xdr:rowOff>57150</xdr:rowOff>
                  </from>
                  <to>
                    <xdr:col>3</xdr:col>
                    <xdr:colOff>590550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"/>
  <sheetViews>
    <sheetView workbookViewId="0">
      <selection activeCell="E16" sqref="E16"/>
    </sheetView>
  </sheetViews>
  <sheetFormatPr defaultRowHeight="15" x14ac:dyDescent="0.25"/>
  <sheetData>
    <row r="1" spans="1:2" x14ac:dyDescent="0.25">
      <c r="A1">
        <v>23</v>
      </c>
      <c r="B1">
        <v>21</v>
      </c>
    </row>
    <row r="2" spans="1:2" x14ac:dyDescent="0.25">
      <c r="A2">
        <v>234</v>
      </c>
      <c r="B2">
        <v>230</v>
      </c>
    </row>
    <row r="3" spans="1:2" x14ac:dyDescent="0.25">
      <c r="A3">
        <v>56</v>
      </c>
      <c r="B3">
        <v>55</v>
      </c>
    </row>
    <row r="4" spans="1:2" x14ac:dyDescent="0.25">
      <c r="A4">
        <v>787</v>
      </c>
      <c r="B4">
        <v>788</v>
      </c>
    </row>
    <row r="5" spans="1:2" x14ac:dyDescent="0.25">
      <c r="A5">
        <v>65</v>
      </c>
      <c r="B5">
        <v>60</v>
      </c>
    </row>
    <row r="6" spans="1:2" x14ac:dyDescent="0.25">
      <c r="A6">
        <v>12</v>
      </c>
      <c r="B6">
        <v>10</v>
      </c>
    </row>
    <row r="7" spans="1:2" x14ac:dyDescent="0.25">
      <c r="A7">
        <v>34</v>
      </c>
      <c r="B7">
        <v>33</v>
      </c>
    </row>
    <row r="8" spans="1:2" x14ac:dyDescent="0.25">
      <c r="A8">
        <v>70</v>
      </c>
      <c r="B8">
        <v>74</v>
      </c>
    </row>
    <row r="9" spans="1:2" x14ac:dyDescent="0.25">
      <c r="A9">
        <v>28</v>
      </c>
      <c r="B9">
        <v>30</v>
      </c>
    </row>
    <row r="10" spans="1:2" x14ac:dyDescent="0.25">
      <c r="A10">
        <v>40</v>
      </c>
      <c r="B10">
        <v>38</v>
      </c>
    </row>
    <row r="11" spans="1:2" x14ac:dyDescent="0.25">
      <c r="A11">
        <v>26</v>
      </c>
      <c r="B11">
        <v>25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8"/>
  <sheetViews>
    <sheetView workbookViewId="0">
      <selection activeCell="L13" sqref="L13"/>
    </sheetView>
  </sheetViews>
  <sheetFormatPr defaultRowHeight="15" x14ac:dyDescent="0.25"/>
  <cols>
    <col min="2" max="2" width="12.42578125" bestFit="1" customWidth="1"/>
  </cols>
  <sheetData>
    <row r="1" spans="1:9" ht="23.25" x14ac:dyDescent="0.35">
      <c r="A1" s="17" t="s">
        <v>36</v>
      </c>
    </row>
    <row r="3" spans="1:9" x14ac:dyDescent="0.25">
      <c r="A3" s="15" t="s">
        <v>37</v>
      </c>
      <c r="E3" s="15" t="s">
        <v>37</v>
      </c>
    </row>
    <row r="4" spans="1:9" x14ac:dyDescent="0.25">
      <c r="B4" s="16" t="b">
        <v>0</v>
      </c>
      <c r="F4">
        <v>2</v>
      </c>
    </row>
    <row r="5" spans="1:9" x14ac:dyDescent="0.25">
      <c r="B5" s="16" t="b">
        <v>0</v>
      </c>
    </row>
    <row r="7" spans="1:9" x14ac:dyDescent="0.25">
      <c r="A7" s="15" t="str">
        <f>IF(B5=TRUE,"O que poderia melhorar?","")</f>
        <v/>
      </c>
      <c r="E7" s="15"/>
    </row>
    <row r="8" spans="1:9" x14ac:dyDescent="0.25">
      <c r="I8">
        <v>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>
                  <from>
                    <xdr:col>0</xdr:col>
                    <xdr:colOff>57150</xdr:colOff>
                    <xdr:row>2</xdr:row>
                    <xdr:rowOff>171450</xdr:rowOff>
                  </from>
                  <to>
                    <xdr:col>0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>
                  <from>
                    <xdr:col>0</xdr:col>
                    <xdr:colOff>57150</xdr:colOff>
                    <xdr:row>4</xdr:row>
                    <xdr:rowOff>0</xdr:rowOff>
                  </from>
                  <to>
                    <xdr:col>0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4</xdr:col>
                    <xdr:colOff>47625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Option Button 4">
              <controlPr defaultSize="0" autoFill="0" autoLine="0" autoPict="0">
                <anchor moveWithCells="1">
                  <from>
                    <xdr:col>4</xdr:col>
                    <xdr:colOff>47625</xdr:colOff>
                    <xdr:row>3</xdr:row>
                    <xdr:rowOff>180975</xdr:rowOff>
                  </from>
                  <to>
                    <xdr:col>5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Group Box 5">
              <controlPr defaultSize="0" autoFill="0" autoPict="0">
                <anchor moveWithCells="1">
                  <from>
                    <xdr:col>4</xdr:col>
                    <xdr:colOff>104775</xdr:colOff>
                    <xdr:row>6</xdr:row>
                    <xdr:rowOff>104775</xdr:rowOff>
                  </from>
                  <to>
                    <xdr:col>7</xdr:col>
                    <xdr:colOff>571500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Option Button 6">
              <controlPr defaultSize="0" autoFill="0" autoLine="0" autoPict="0">
                <anchor moveWithCells="1">
                  <from>
                    <xdr:col>4</xdr:col>
                    <xdr:colOff>219075</xdr:colOff>
                    <xdr:row>8</xdr:row>
                    <xdr:rowOff>0</xdr:rowOff>
                  </from>
                  <to>
                    <xdr:col>5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Option Button 7">
              <controlPr defaultSize="0" autoFill="0" autoLine="0" autoPict="0">
                <anchor mov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5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7"/>
  <sheetViews>
    <sheetView topLeftCell="A10" workbookViewId="0">
      <selection activeCell="E27" sqref="E27"/>
    </sheetView>
  </sheetViews>
  <sheetFormatPr defaultRowHeight="15" x14ac:dyDescent="0.25"/>
  <cols>
    <col min="4" max="4" width="9.7109375" customWidth="1"/>
    <col min="5" max="5" width="15" customWidth="1"/>
    <col min="6" max="6" width="21" customWidth="1"/>
  </cols>
  <sheetData>
    <row r="1" spans="1:6" x14ac:dyDescent="0.25">
      <c r="A1" s="53" t="s">
        <v>38</v>
      </c>
      <c r="B1" s="53"/>
      <c r="C1" s="53"/>
      <c r="D1" s="53"/>
      <c r="E1" s="53"/>
    </row>
    <row r="2" spans="1:6" x14ac:dyDescent="0.25">
      <c r="A2" s="63" t="s">
        <v>39</v>
      </c>
      <c r="B2" s="63"/>
      <c r="C2" s="63"/>
      <c r="D2" s="63"/>
      <c r="E2" s="18">
        <v>60</v>
      </c>
      <c r="F2" t="b">
        <v>1</v>
      </c>
    </row>
    <row r="3" spans="1:6" x14ac:dyDescent="0.25">
      <c r="A3" s="19" t="s">
        <v>40</v>
      </c>
      <c r="B3" s="19"/>
      <c r="C3" s="19"/>
      <c r="D3" s="19"/>
      <c r="E3" s="18">
        <v>65</v>
      </c>
      <c r="F3" t="b">
        <v>1</v>
      </c>
    </row>
    <row r="4" spans="1:6" x14ac:dyDescent="0.25">
      <c r="A4" s="63" t="s">
        <v>41</v>
      </c>
      <c r="B4" s="63"/>
      <c r="C4" s="63"/>
      <c r="D4" s="63"/>
      <c r="E4" s="18">
        <v>35</v>
      </c>
      <c r="F4" t="b">
        <v>1</v>
      </c>
    </row>
    <row r="5" spans="1:6" x14ac:dyDescent="0.25">
      <c r="A5" s="63" t="s">
        <v>42</v>
      </c>
      <c r="B5" s="63"/>
      <c r="C5" s="63"/>
      <c r="D5" s="63"/>
      <c r="E5" s="18">
        <v>70</v>
      </c>
      <c r="F5" t="b">
        <v>1</v>
      </c>
    </row>
    <row r="6" spans="1:6" x14ac:dyDescent="0.25">
      <c r="A6" s="19" t="s">
        <v>43</v>
      </c>
      <c r="B6" s="19"/>
      <c r="C6" s="19"/>
      <c r="D6" s="19"/>
      <c r="E6" s="18">
        <v>80</v>
      </c>
      <c r="F6" t="b">
        <v>1</v>
      </c>
    </row>
    <row r="7" spans="1:6" x14ac:dyDescent="0.25">
      <c r="A7" s="63" t="s">
        <v>44</v>
      </c>
      <c r="B7" s="63"/>
      <c r="C7" s="63"/>
      <c r="D7" s="63"/>
      <c r="E7" s="18">
        <v>30</v>
      </c>
      <c r="F7" t="b">
        <v>1</v>
      </c>
    </row>
    <row r="10" spans="1:6" ht="18.75" x14ac:dyDescent="0.3">
      <c r="A10" s="61" t="s">
        <v>45</v>
      </c>
      <c r="B10" s="61"/>
      <c r="C10" s="61"/>
      <c r="D10" s="61"/>
      <c r="E10" s="61"/>
      <c r="F10" s="61"/>
    </row>
    <row r="27" spans="1:5" ht="18.75" x14ac:dyDescent="0.3">
      <c r="A27" s="62" t="s">
        <v>46</v>
      </c>
      <c r="B27" s="62"/>
      <c r="C27" s="62"/>
      <c r="D27" s="62"/>
      <c r="E27" s="20">
        <f>SUMIF(F2:F7,TRUE,E2:E7)</f>
        <v>340</v>
      </c>
    </row>
  </sheetData>
  <mergeCells count="7">
    <mergeCell ref="A1:E1"/>
    <mergeCell ref="A10:F10"/>
    <mergeCell ref="A27:D27"/>
    <mergeCell ref="A2:D2"/>
    <mergeCell ref="A4:D4"/>
    <mergeCell ref="A5:D5"/>
    <mergeCell ref="A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Group Box 1">
              <controlPr defaultSize="0" autoFill="0" autoPict="0">
                <anchor moveWithCells="1">
                  <from>
                    <xdr:col>0</xdr:col>
                    <xdr:colOff>190500</xdr:colOff>
                    <xdr:row>11</xdr:row>
                    <xdr:rowOff>114300</xdr:rowOff>
                  </from>
                  <to>
                    <xdr:col>4</xdr:col>
                    <xdr:colOff>542925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0</xdr:col>
                    <xdr:colOff>247650</xdr:colOff>
                    <xdr:row>12</xdr:row>
                    <xdr:rowOff>180975</xdr:rowOff>
                  </from>
                  <to>
                    <xdr:col>3</xdr:col>
                    <xdr:colOff>552450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Check Box 4">
              <controlPr defaultSize="0" autoFill="0" autoLine="0" autoPict="0">
                <anchor moveWithCells="1">
                  <from>
                    <xdr:col>0</xdr:col>
                    <xdr:colOff>247650</xdr:colOff>
                    <xdr:row>14</xdr:row>
                    <xdr:rowOff>171450</xdr:rowOff>
                  </from>
                  <to>
                    <xdr:col>3</xdr:col>
                    <xdr:colOff>228600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Check Box 5">
              <controlPr defaultSize="0" autoFill="0" autoLine="0" autoPict="0">
                <anchor moveWithCells="1">
                  <from>
                    <xdr:col>0</xdr:col>
                    <xdr:colOff>247650</xdr:colOff>
                    <xdr:row>16</xdr:row>
                    <xdr:rowOff>180975</xdr:rowOff>
                  </from>
                  <to>
                    <xdr:col>2</xdr:col>
                    <xdr:colOff>38100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Check Box 6">
              <controlPr defaultSize="0" autoFill="0" autoLine="0" autoPict="0">
                <anchor moveWithCells="1">
                  <from>
                    <xdr:col>0</xdr:col>
                    <xdr:colOff>238125</xdr:colOff>
                    <xdr:row>19</xdr:row>
                    <xdr:rowOff>0</xdr:rowOff>
                  </from>
                  <to>
                    <xdr:col>3</xdr:col>
                    <xdr:colOff>238125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Check Box 7">
              <controlPr defaultSize="0" autoFill="0" autoLine="0" autoPict="0">
                <anchor moveWithCells="1">
                  <from>
                    <xdr:col>0</xdr:col>
                    <xdr:colOff>247650</xdr:colOff>
                    <xdr:row>20</xdr:row>
                    <xdr:rowOff>161925</xdr:rowOff>
                  </from>
                  <to>
                    <xdr:col>3</xdr:col>
                    <xdr:colOff>371475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Check Box 8">
              <controlPr defaultSize="0" autoFill="0" autoLine="0" autoPict="0">
                <anchor moveWithCells="1">
                  <from>
                    <xdr:col>0</xdr:col>
                    <xdr:colOff>228600</xdr:colOff>
                    <xdr:row>23</xdr:row>
                    <xdr:rowOff>161925</xdr:rowOff>
                  </from>
                  <to>
                    <xdr:col>1</xdr:col>
                    <xdr:colOff>114300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56"/>
  <sheetViews>
    <sheetView topLeftCell="A38" zoomScaleNormal="100" workbookViewId="0">
      <selection activeCell="D41" sqref="D41"/>
    </sheetView>
  </sheetViews>
  <sheetFormatPr defaultRowHeight="15" x14ac:dyDescent="0.25"/>
  <cols>
    <col min="2" max="2" width="13.28515625" customWidth="1"/>
    <col min="3" max="3" width="12.42578125" bestFit="1" customWidth="1"/>
    <col min="5" max="5" width="12.42578125" customWidth="1"/>
  </cols>
  <sheetData>
    <row r="1" spans="1:5" ht="18.75" x14ac:dyDescent="0.3">
      <c r="A1" s="73" t="s">
        <v>47</v>
      </c>
      <c r="B1" s="73"/>
      <c r="C1" s="73"/>
      <c r="D1" s="73"/>
      <c r="E1" s="73"/>
    </row>
    <row r="3" spans="1:5" x14ac:dyDescent="0.25">
      <c r="A3" s="21" t="s">
        <v>48</v>
      </c>
    </row>
    <row r="4" spans="1:5" x14ac:dyDescent="0.25">
      <c r="A4" s="66" t="s">
        <v>58</v>
      </c>
      <c r="B4" s="66"/>
      <c r="C4" s="66"/>
      <c r="D4" s="66"/>
    </row>
    <row r="5" spans="1:5" x14ac:dyDescent="0.25">
      <c r="A5" s="21" t="s">
        <v>49</v>
      </c>
    </row>
    <row r="6" spans="1:5" x14ac:dyDescent="0.25">
      <c r="A6" s="68">
        <v>34428</v>
      </c>
      <c r="B6" s="66"/>
    </row>
    <row r="9" spans="1:5" x14ac:dyDescent="0.25">
      <c r="C9">
        <v>1</v>
      </c>
    </row>
    <row r="18" spans="3:3" x14ac:dyDescent="0.25">
      <c r="C18" t="b">
        <v>1</v>
      </c>
    </row>
    <row r="19" spans="3:3" x14ac:dyDescent="0.25">
      <c r="C19" t="b">
        <v>1</v>
      </c>
    </row>
    <row r="23" spans="3:3" x14ac:dyDescent="0.25">
      <c r="C23">
        <v>2</v>
      </c>
    </row>
    <row r="28" spans="3:3" x14ac:dyDescent="0.25">
      <c r="C28">
        <v>5</v>
      </c>
    </row>
    <row r="38" spans="1:5" x14ac:dyDescent="0.25">
      <c r="E38">
        <v>2</v>
      </c>
    </row>
    <row r="43" spans="1:5" x14ac:dyDescent="0.25">
      <c r="E43">
        <v>1</v>
      </c>
    </row>
    <row r="47" spans="1:5" ht="15.75" thickBot="1" x14ac:dyDescent="0.3"/>
    <row r="48" spans="1:5" ht="18.75" x14ac:dyDescent="0.3">
      <c r="A48" s="74" t="s">
        <v>50</v>
      </c>
      <c r="B48" s="75"/>
      <c r="C48" s="75"/>
      <c r="D48" s="75"/>
      <c r="E48" s="76"/>
    </row>
    <row r="49" spans="1:5" x14ac:dyDescent="0.25">
      <c r="A49" s="72" t="s">
        <v>48</v>
      </c>
      <c r="B49" s="53"/>
      <c r="C49" s="66" t="str">
        <f>IF(A4="","",A4)</f>
        <v>Iasmin</v>
      </c>
      <c r="D49" s="66"/>
      <c r="E49" s="67"/>
    </row>
    <row r="50" spans="1:5" x14ac:dyDescent="0.25">
      <c r="A50" s="72" t="s">
        <v>51</v>
      </c>
      <c r="B50" s="53"/>
      <c r="C50" s="68">
        <f>IF(A6="","",A6)</f>
        <v>34428</v>
      </c>
      <c r="D50" s="68"/>
      <c r="E50" s="69"/>
    </row>
    <row r="51" spans="1:5" x14ac:dyDescent="0.25">
      <c r="A51" s="72" t="s">
        <v>52</v>
      </c>
      <c r="B51" s="53"/>
      <c r="C51" s="66" t="str">
        <f>IF(C9=1,"Solteiro(a)",IF(C9=2,"Casado(a)",IF(C9=3,"Separado(a)",IF(C9=4,"Divorciado(a)","Viúvo(a)"))))</f>
        <v>Solteiro(a)</v>
      </c>
      <c r="D51" s="66"/>
      <c r="E51" s="67"/>
    </row>
    <row r="52" spans="1:5" x14ac:dyDescent="0.25">
      <c r="A52" s="72" t="s">
        <v>53</v>
      </c>
      <c r="B52" s="53"/>
      <c r="C52" s="66" t="str">
        <f>CONCATENATE(IF(C18=TRUE,"Brasileiro(a)",""),"/",IF(C19=TRUE,"Estrangeiro(a)",""))</f>
        <v>Brasileiro(a)/Estrangeiro(a)</v>
      </c>
      <c r="D52" s="66"/>
      <c r="E52" s="67"/>
    </row>
    <row r="53" spans="1:5" x14ac:dyDescent="0.25">
      <c r="A53" s="72" t="s">
        <v>54</v>
      </c>
      <c r="B53" s="53"/>
      <c r="C53" s="66" t="str">
        <f>IF(C23=1,"SIM","NÃO")</f>
        <v>NÃO</v>
      </c>
      <c r="D53" s="66"/>
      <c r="E53" s="67"/>
    </row>
    <row r="54" spans="1:5" x14ac:dyDescent="0.25">
      <c r="A54" s="72" t="s">
        <v>55</v>
      </c>
      <c r="B54" s="53"/>
      <c r="C54" s="66" t="str">
        <f>IF(C28=1,"Estudante",IF(C28=2,"1º emprego",IF(C28=3,"Emprego a prazo",IF(C28=4,"Emprego efetivo","Desempregado"))))</f>
        <v>Desempregado</v>
      </c>
      <c r="D54" s="66"/>
      <c r="E54" s="67"/>
    </row>
    <row r="55" spans="1:5" x14ac:dyDescent="0.25">
      <c r="A55" s="72" t="s">
        <v>56</v>
      </c>
      <c r="B55" s="53"/>
      <c r="C55" s="66" t="str">
        <f>IF(E38=1,"SIM","NÂO")</f>
        <v>NÂO</v>
      </c>
      <c r="D55" s="66"/>
      <c r="E55" s="67"/>
    </row>
    <row r="56" spans="1:5" ht="15.75" thickBot="1" x14ac:dyDescent="0.3">
      <c r="A56" s="64" t="s">
        <v>57</v>
      </c>
      <c r="B56" s="65"/>
      <c r="C56" s="70" t="str">
        <f>IF(E43=1,"SIM","NÂO")</f>
        <v>SIM</v>
      </c>
      <c r="D56" s="70"/>
      <c r="E56" s="71"/>
    </row>
  </sheetData>
  <mergeCells count="20">
    <mergeCell ref="A4:D4"/>
    <mergeCell ref="A6:B6"/>
    <mergeCell ref="A1:E1"/>
    <mergeCell ref="A50:B50"/>
    <mergeCell ref="A48:E48"/>
    <mergeCell ref="A56:B56"/>
    <mergeCell ref="C49:E49"/>
    <mergeCell ref="C50:E50"/>
    <mergeCell ref="C51:E51"/>
    <mergeCell ref="C52:E52"/>
    <mergeCell ref="C53:E53"/>
    <mergeCell ref="C54:E54"/>
    <mergeCell ref="C55:E55"/>
    <mergeCell ref="C56:E56"/>
    <mergeCell ref="A51:B51"/>
    <mergeCell ref="A49:B49"/>
    <mergeCell ref="A52:B52"/>
    <mergeCell ref="A53:B53"/>
    <mergeCell ref="A54:B54"/>
    <mergeCell ref="A55:B5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Group Box 1">
              <controlPr defaultSize="0" autoFill="0" autoPict="0">
                <anchor>
                  <from>
                    <xdr:col>0</xdr:col>
                    <xdr:colOff>47625</xdr:colOff>
                    <xdr:row>7</xdr:row>
                    <xdr:rowOff>9525</xdr:rowOff>
                  </from>
                  <to>
                    <xdr:col>1</xdr:col>
                    <xdr:colOff>885825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Option Button 3">
              <controlPr defaultSize="0" autoFill="0" autoLine="0" autoPict="0">
                <anchor>
                  <from>
                    <xdr:col>0</xdr:col>
                    <xdr:colOff>85725</xdr:colOff>
                    <xdr:row>7</xdr:row>
                    <xdr:rowOff>171450</xdr:rowOff>
                  </from>
                  <to>
                    <xdr:col>1</xdr:col>
                    <xdr:colOff>238125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Option Button 4">
              <controlPr defaultSize="0" autoFill="0" autoLine="0" autoPict="0">
                <anchor>
                  <from>
                    <xdr:col>0</xdr:col>
                    <xdr:colOff>85725</xdr:colOff>
                    <xdr:row>9</xdr:row>
                    <xdr:rowOff>66675</xdr:rowOff>
                  </from>
                  <to>
                    <xdr:col>1</xdr:col>
                    <xdr:colOff>361950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Option Button 5">
              <controlPr defaultSize="0" autoFill="0" autoLine="0" autoPict="0">
                <anchor>
                  <from>
                    <xdr:col>0</xdr:col>
                    <xdr:colOff>85725</xdr:colOff>
                    <xdr:row>10</xdr:row>
                    <xdr:rowOff>152400</xdr:rowOff>
                  </from>
                  <to>
                    <xdr:col>1</xdr:col>
                    <xdr:colOff>257175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Option Button 6">
              <controlPr defaultSize="0" autoFill="0" autoLine="0" autoPict="0">
                <anchor>
                  <from>
                    <xdr:col>0</xdr:col>
                    <xdr:colOff>85725</xdr:colOff>
                    <xdr:row>12</xdr:row>
                    <xdr:rowOff>57150</xdr:rowOff>
                  </from>
                  <to>
                    <xdr:col>1</xdr:col>
                    <xdr:colOff>219075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Group Box 7">
              <controlPr defaultSize="0" autoFill="0" autoPict="0">
                <anchor>
                  <from>
                    <xdr:col>0</xdr:col>
                    <xdr:colOff>47625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9" name="Group Box 10">
              <controlPr defaultSize="0" autoFill="0" autoPict="0">
                <anchor>
                  <from>
                    <xdr:col>0</xdr:col>
                    <xdr:colOff>57150</xdr:colOff>
                    <xdr:row>20</xdr:row>
                    <xdr:rowOff>180975</xdr:rowOff>
                  </from>
                  <to>
                    <xdr:col>2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Option Button 11">
              <controlPr defaultSize="0" autoFill="0" autoLine="0" autoPict="0">
                <anchor>
                  <from>
                    <xdr:col>0</xdr:col>
                    <xdr:colOff>171450</xdr:colOff>
                    <xdr:row>21</xdr:row>
                    <xdr:rowOff>180975</xdr:rowOff>
                  </from>
                  <to>
                    <xdr:col>1</xdr:col>
                    <xdr:colOff>38100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1" name="Option Button 12">
              <controlPr defaultSize="0" autoFill="0" autoLine="0" autoPict="0">
                <anchor>
                  <from>
                    <xdr:col>0</xdr:col>
                    <xdr:colOff>171450</xdr:colOff>
                    <xdr:row>23</xdr:row>
                    <xdr:rowOff>104775</xdr:rowOff>
                  </from>
                  <to>
                    <xdr:col>1</xdr:col>
                    <xdr:colOff>85725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2" name="Group Box 13">
              <controlPr defaultSize="0" autoFill="0" autoPict="0">
                <anchor>
                  <from>
                    <xdr:col>0</xdr:col>
                    <xdr:colOff>57150</xdr:colOff>
                    <xdr:row>26</xdr:row>
                    <xdr:rowOff>0</xdr:rowOff>
                  </from>
                  <to>
                    <xdr:col>2</xdr:col>
                    <xdr:colOff>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3" name="Option Button 14">
              <controlPr defaultSize="0" autoFill="0" autoLine="0" autoPict="0">
                <anchor>
                  <from>
                    <xdr:col>0</xdr:col>
                    <xdr:colOff>152400</xdr:colOff>
                    <xdr:row>27</xdr:row>
                    <xdr:rowOff>19050</xdr:rowOff>
                  </from>
                  <to>
                    <xdr:col>1</xdr:col>
                    <xdr:colOff>276225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4" name="Option Button 16">
              <controlPr defaultSize="0" autoFill="0" autoLine="0" autoPict="0">
                <anchor>
                  <from>
                    <xdr:col>0</xdr:col>
                    <xdr:colOff>152400</xdr:colOff>
                    <xdr:row>28</xdr:row>
                    <xdr:rowOff>114300</xdr:rowOff>
                  </from>
                  <to>
                    <xdr:col>1</xdr:col>
                    <xdr:colOff>180975</xdr:colOff>
                    <xdr:row>29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5" name="Option Button 17">
              <controlPr defaultSize="0" autoFill="0" autoLine="0" autoPict="0">
                <anchor>
                  <from>
                    <xdr:col>0</xdr:col>
                    <xdr:colOff>152400</xdr:colOff>
                    <xdr:row>30</xdr:row>
                    <xdr:rowOff>19050</xdr:rowOff>
                  </from>
                  <to>
                    <xdr:col>1</xdr:col>
                    <xdr:colOff>561975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6" name="Option Button 18">
              <controlPr defaultSize="0" autoFill="0" autoLine="0" autoPict="0">
                <anchor>
                  <from>
                    <xdr:col>0</xdr:col>
                    <xdr:colOff>152400</xdr:colOff>
                    <xdr:row>31</xdr:row>
                    <xdr:rowOff>85725</xdr:rowOff>
                  </from>
                  <to>
                    <xdr:col>1</xdr:col>
                    <xdr:colOff>542925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7" name="Option Button 19">
              <controlPr defaultSize="0" autoFill="0" autoLine="0" autoPict="0">
                <anchor>
                  <from>
                    <xdr:col>0</xdr:col>
                    <xdr:colOff>152400</xdr:colOff>
                    <xdr:row>33</xdr:row>
                    <xdr:rowOff>19050</xdr:rowOff>
                  </from>
                  <to>
                    <xdr:col>1</xdr:col>
                    <xdr:colOff>485775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8" name="Group Box 20">
              <controlPr defaultSize="0" autoFill="0" autoPict="0">
                <anchor>
                  <from>
                    <xdr:col>0</xdr:col>
                    <xdr:colOff>66675</xdr:colOff>
                    <xdr:row>37</xdr:row>
                    <xdr:rowOff>0</xdr:rowOff>
                  </from>
                  <to>
                    <xdr:col>3</xdr:col>
                    <xdr:colOff>400050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9" name="Option Button 21">
              <controlPr defaultSize="0" autoFill="0" autoLine="0" autoPict="0">
                <anchor>
                  <from>
                    <xdr:col>0</xdr:col>
                    <xdr:colOff>209550</xdr:colOff>
                    <xdr:row>37</xdr:row>
                    <xdr:rowOff>180975</xdr:rowOff>
                  </from>
                  <to>
                    <xdr:col>1</xdr:col>
                    <xdr:colOff>114300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0" name="Option Button 22">
              <controlPr defaultSize="0" autoFill="0" autoLine="0" autoPict="0">
                <anchor>
                  <from>
                    <xdr:col>0</xdr:col>
                    <xdr:colOff>200025</xdr:colOff>
                    <xdr:row>39</xdr:row>
                    <xdr:rowOff>66675</xdr:rowOff>
                  </from>
                  <to>
                    <xdr:col>1</xdr:col>
                    <xdr:colOff>28575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1" name="Group Box 23">
              <controlPr defaultSize="0" autoFill="0" autoPict="0">
                <anchor>
                  <from>
                    <xdr:col>0</xdr:col>
                    <xdr:colOff>123825</xdr:colOff>
                    <xdr:row>41</xdr:row>
                    <xdr:rowOff>180975</xdr:rowOff>
                  </from>
                  <to>
                    <xdr:col>3</xdr:col>
                    <xdr:colOff>390525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2" name="Option Button 24">
              <controlPr defaultSize="0" autoFill="0" autoLine="0" autoPict="0">
                <anchor>
                  <from>
                    <xdr:col>0</xdr:col>
                    <xdr:colOff>200025</xdr:colOff>
                    <xdr:row>42</xdr:row>
                    <xdr:rowOff>180975</xdr:rowOff>
                  </from>
                  <to>
                    <xdr:col>1</xdr:col>
                    <xdr:colOff>47625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3" name="Option Button 25">
              <controlPr defaultSize="0" autoFill="0" autoLine="0" autoPict="0">
                <anchor>
                  <from>
                    <xdr:col>0</xdr:col>
                    <xdr:colOff>190500</xdr:colOff>
                    <xdr:row>44</xdr:row>
                    <xdr:rowOff>66675</xdr:rowOff>
                  </from>
                  <to>
                    <xdr:col>1</xdr:col>
                    <xdr:colOff>76200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4" name="Check Box 26">
              <controlPr defaultSize="0" autoFill="0" autoLine="0" autoPict="0">
                <anchor>
                  <from>
                    <xdr:col>0</xdr:col>
                    <xdr:colOff>171450</xdr:colOff>
                    <xdr:row>16</xdr:row>
                    <xdr:rowOff>161925</xdr:rowOff>
                  </from>
                  <to>
                    <xdr:col>1</xdr:col>
                    <xdr:colOff>409575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5" name="Check Box 27">
              <controlPr defaultSize="0" autoFill="0" autoLine="0" autoPict="0">
                <anchor>
                  <from>
                    <xdr:col>0</xdr:col>
                    <xdr:colOff>161925</xdr:colOff>
                    <xdr:row>18</xdr:row>
                    <xdr:rowOff>85725</xdr:rowOff>
                  </from>
                  <to>
                    <xdr:col>1</xdr:col>
                    <xdr:colOff>438150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6" name="Option Button 28">
              <controlPr defaultSize="0" autoFill="0" autoLine="0" autoPict="0">
                <anchor>
                  <from>
                    <xdr:col>0</xdr:col>
                    <xdr:colOff>85725</xdr:colOff>
                    <xdr:row>13</xdr:row>
                    <xdr:rowOff>142875</xdr:rowOff>
                  </from>
                  <to>
                    <xdr:col>1</xdr:col>
                    <xdr:colOff>228600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3"/>
  <sheetViews>
    <sheetView topLeftCell="A7" workbookViewId="0">
      <selection activeCell="F21" sqref="F21"/>
    </sheetView>
  </sheetViews>
  <sheetFormatPr defaultRowHeight="15" x14ac:dyDescent="0.25"/>
  <cols>
    <col min="1" max="1" width="11.42578125" bestFit="1" customWidth="1"/>
    <col min="2" max="7" width="11.7109375" bestFit="1" customWidth="1"/>
  </cols>
  <sheetData>
    <row r="1" spans="1:9" x14ac:dyDescent="0.25">
      <c r="A1" s="26" t="s">
        <v>59</v>
      </c>
      <c r="B1" s="26" t="s">
        <v>60</v>
      </c>
      <c r="C1" s="26" t="s">
        <v>61</v>
      </c>
      <c r="D1" s="26" t="s">
        <v>62</v>
      </c>
      <c r="E1" s="26" t="s">
        <v>63</v>
      </c>
      <c r="F1" s="26" t="s">
        <v>64</v>
      </c>
      <c r="G1" s="26" t="s">
        <v>65</v>
      </c>
      <c r="H1">
        <v>8</v>
      </c>
      <c r="I1" t="str">
        <f>INDEX(A2:G9,H1,1)</f>
        <v>Rodrigo</v>
      </c>
    </row>
    <row r="2" spans="1:9" x14ac:dyDescent="0.25">
      <c r="A2" s="23" t="s">
        <v>66</v>
      </c>
      <c r="B2" s="24">
        <v>30895.360000000001</v>
      </c>
      <c r="C2" s="24">
        <v>28889.23</v>
      </c>
      <c r="D2" s="24">
        <v>32789</v>
      </c>
      <c r="E2" s="24">
        <v>30541.21</v>
      </c>
      <c r="F2" s="24">
        <v>32789.5</v>
      </c>
      <c r="G2" s="24">
        <v>22581.85</v>
      </c>
    </row>
    <row r="3" spans="1:9" x14ac:dyDescent="0.25">
      <c r="A3" s="22" t="s">
        <v>67</v>
      </c>
      <c r="B3" s="25">
        <v>28354.21</v>
      </c>
      <c r="C3" s="25">
        <v>29258.36</v>
      </c>
      <c r="D3" s="25">
        <v>33258.1</v>
      </c>
      <c r="E3" s="25">
        <v>34210.6</v>
      </c>
      <c r="F3" s="25">
        <v>35124</v>
      </c>
      <c r="G3" s="25">
        <v>34210.6</v>
      </c>
    </row>
    <row r="4" spans="1:9" x14ac:dyDescent="0.25">
      <c r="A4" s="22" t="s">
        <v>68</v>
      </c>
      <c r="B4" s="25">
        <v>35124</v>
      </c>
      <c r="C4" s="25">
        <v>30478.45</v>
      </c>
      <c r="D4" s="25">
        <v>29568.78</v>
      </c>
      <c r="E4" s="25">
        <v>29369.47</v>
      </c>
      <c r="F4" s="25">
        <v>29369.47</v>
      </c>
      <c r="G4" s="25">
        <v>35124</v>
      </c>
    </row>
    <row r="5" spans="1:9" x14ac:dyDescent="0.25">
      <c r="A5" s="22" t="s">
        <v>69</v>
      </c>
      <c r="B5" s="25">
        <v>25899.69</v>
      </c>
      <c r="C5" s="25">
        <v>30698.09</v>
      </c>
      <c r="D5" s="25">
        <v>28954.37</v>
      </c>
      <c r="E5" s="25">
        <v>32587.99</v>
      </c>
      <c r="F5" s="25">
        <v>27355.119999999999</v>
      </c>
      <c r="G5" s="25">
        <v>26798.28</v>
      </c>
    </row>
    <row r="6" spans="1:9" x14ac:dyDescent="0.25">
      <c r="A6" s="22" t="s">
        <v>70</v>
      </c>
      <c r="B6" s="25">
        <v>27355.119999999999</v>
      </c>
      <c r="C6" s="25">
        <v>22581.85</v>
      </c>
      <c r="D6" s="25">
        <v>27123.58</v>
      </c>
      <c r="E6" s="25">
        <v>29456.32</v>
      </c>
      <c r="F6" s="25">
        <v>25457.09</v>
      </c>
      <c r="G6" s="25">
        <v>20778.009999999998</v>
      </c>
    </row>
    <row r="7" spans="1:9" x14ac:dyDescent="0.25">
      <c r="A7" s="22" t="s">
        <v>71</v>
      </c>
      <c r="B7" s="25">
        <v>18333.66</v>
      </c>
      <c r="C7" s="25">
        <v>22457.05</v>
      </c>
      <c r="D7" s="25">
        <v>25457.09</v>
      </c>
      <c r="E7" s="25">
        <v>26798.28</v>
      </c>
      <c r="F7" s="25">
        <v>20778.009999999998</v>
      </c>
      <c r="G7" s="25">
        <v>25893.14</v>
      </c>
    </row>
    <row r="8" spans="1:9" x14ac:dyDescent="0.25">
      <c r="A8" s="22" t="s">
        <v>72</v>
      </c>
      <c r="B8" s="25">
        <v>20778.009999999998</v>
      </c>
      <c r="C8" s="25">
        <v>25893.14</v>
      </c>
      <c r="D8" s="25">
        <v>22778.38</v>
      </c>
      <c r="E8" s="25">
        <v>21697.27</v>
      </c>
      <c r="F8" s="25">
        <v>30895.360000000001</v>
      </c>
      <c r="G8" s="25">
        <v>28954.37</v>
      </c>
    </row>
    <row r="9" spans="1:9" x14ac:dyDescent="0.25">
      <c r="A9" s="22" t="s">
        <v>73</v>
      </c>
      <c r="B9" s="25">
        <v>41227</v>
      </c>
      <c r="C9" s="25">
        <v>32789.5</v>
      </c>
      <c r="D9" s="25">
        <v>37841.21</v>
      </c>
      <c r="E9" s="25">
        <v>40332.89</v>
      </c>
      <c r="F9" s="25">
        <v>22778.38</v>
      </c>
      <c r="G9" s="25">
        <v>30478.45</v>
      </c>
    </row>
    <row r="15" spans="1:9" ht="18.75" x14ac:dyDescent="0.3">
      <c r="A15" s="77" t="s">
        <v>74</v>
      </c>
      <c r="B15" s="77"/>
      <c r="C15" s="77"/>
      <c r="D15" s="77"/>
      <c r="E15" s="77"/>
    </row>
    <row r="17" spans="2:4" x14ac:dyDescent="0.25">
      <c r="B17" s="27" t="s">
        <v>75</v>
      </c>
    </row>
    <row r="18" spans="2:4" x14ac:dyDescent="0.25">
      <c r="B18" s="78">
        <v>18</v>
      </c>
    </row>
    <row r="19" spans="2:4" x14ac:dyDescent="0.25">
      <c r="B19" s="78"/>
    </row>
    <row r="22" spans="2:4" x14ac:dyDescent="0.25">
      <c r="B22" s="28" t="s">
        <v>76</v>
      </c>
      <c r="C22" s="27">
        <f>IF(D23,D23/4,"")</f>
        <v>2.75</v>
      </c>
    </row>
    <row r="23" spans="2:4" x14ac:dyDescent="0.25">
      <c r="D23">
        <v>11</v>
      </c>
    </row>
  </sheetData>
  <mergeCells count="2">
    <mergeCell ref="A15:E15"/>
    <mergeCell ref="B18:B19"/>
  </mergeCells>
  <conditionalFormatting sqref="A2:G9">
    <cfRule type="expression" dxfId="5" priority="1">
      <formula>$A2=$I$1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croll Bar 1">
              <controlPr defaultSize="0" autoPict="0">
                <anchor moveWithCells="1">
                  <from>
                    <xdr:col>7</xdr:col>
                    <xdr:colOff>114300</xdr:colOff>
                    <xdr:row>1</xdr:row>
                    <xdr:rowOff>9525</xdr:rowOff>
                  </from>
                  <to>
                    <xdr:col>7</xdr:col>
                    <xdr:colOff>457200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161925</xdr:colOff>
                    <xdr:row>16</xdr:row>
                    <xdr:rowOff>9525</xdr:rowOff>
                  </from>
                  <to>
                    <xdr:col>2</xdr:col>
                    <xdr:colOff>619125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croll Bar 3">
              <controlPr defaultSize="0" autoPict="0">
                <anchor moveWithCells="1">
                  <from>
                    <xdr:col>1</xdr:col>
                    <xdr:colOff>0</xdr:colOff>
                    <xdr:row>21</xdr:row>
                    <xdr:rowOff>180975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6"/>
  <sheetViews>
    <sheetView topLeftCell="B1" workbookViewId="0">
      <selection activeCell="I24" sqref="I24"/>
    </sheetView>
  </sheetViews>
  <sheetFormatPr defaultRowHeight="15" x14ac:dyDescent="0.25"/>
  <cols>
    <col min="1" max="1" width="10.5703125" bestFit="1" customWidth="1"/>
    <col min="2" max="2" width="11.42578125" bestFit="1" customWidth="1"/>
    <col min="3" max="3" width="13.28515625" bestFit="1" customWidth="1"/>
    <col min="5" max="5" width="11.42578125" bestFit="1" customWidth="1"/>
    <col min="6" max="6" width="14.5703125" bestFit="1" customWidth="1"/>
  </cols>
  <sheetData>
    <row r="1" spans="1:7" x14ac:dyDescent="0.25">
      <c r="A1" t="s">
        <v>77</v>
      </c>
    </row>
    <row r="2" spans="1:7" x14ac:dyDescent="0.25">
      <c r="A2" t="s">
        <v>78</v>
      </c>
      <c r="E2">
        <v>4</v>
      </c>
    </row>
    <row r="3" spans="1:7" x14ac:dyDescent="0.25">
      <c r="A3" t="s">
        <v>79</v>
      </c>
    </row>
    <row r="4" spans="1:7" x14ac:dyDescent="0.25">
      <c r="A4" t="s">
        <v>80</v>
      </c>
    </row>
    <row r="5" spans="1:7" x14ac:dyDescent="0.25">
      <c r="A5" t="s">
        <v>81</v>
      </c>
    </row>
    <row r="6" spans="1:7" x14ac:dyDescent="0.25">
      <c r="A6" t="s">
        <v>82</v>
      </c>
    </row>
    <row r="7" spans="1:7" x14ac:dyDescent="0.25">
      <c r="A7" t="s">
        <v>83</v>
      </c>
    </row>
    <row r="8" spans="1:7" x14ac:dyDescent="0.25">
      <c r="A8" t="s">
        <v>84</v>
      </c>
      <c r="C8" t="str">
        <f>INDEX($A:$A,$E$2,1)</f>
        <v>Produto 4</v>
      </c>
    </row>
    <row r="9" spans="1:7" x14ac:dyDescent="0.25">
      <c r="A9" t="s">
        <v>85</v>
      </c>
    </row>
    <row r="10" spans="1:7" x14ac:dyDescent="0.25">
      <c r="A10" t="s">
        <v>86</v>
      </c>
    </row>
    <row r="13" spans="1:7" x14ac:dyDescent="0.25">
      <c r="B13" s="29" t="s">
        <v>59</v>
      </c>
      <c r="C13" s="29" t="s">
        <v>87</v>
      </c>
      <c r="E13" s="29" t="s">
        <v>59</v>
      </c>
      <c r="F13" s="29" t="s">
        <v>87</v>
      </c>
    </row>
    <row r="14" spans="1:7" x14ac:dyDescent="0.25">
      <c r="B14" s="30" t="s">
        <v>66</v>
      </c>
      <c r="C14" s="31">
        <v>82124.98</v>
      </c>
      <c r="E14" s="32" t="str">
        <f>INDEX(B14:$C$26,$G$16,MATCH(E$13,$B$13:$C$13,0))</f>
        <v>Aline</v>
      </c>
      <c r="F14" s="33">
        <f>INDEX($B$14:$C$26,$G$16,MATCH(F$13,$B$13:$C$13,0))</f>
        <v>18333.66</v>
      </c>
    </row>
    <row r="15" spans="1:7" x14ac:dyDescent="0.25">
      <c r="B15" s="30" t="s">
        <v>67</v>
      </c>
      <c r="C15" s="31">
        <v>28354.21</v>
      </c>
    </row>
    <row r="16" spans="1:7" x14ac:dyDescent="0.25">
      <c r="B16" s="30" t="s">
        <v>68</v>
      </c>
      <c r="C16" s="31">
        <v>35124</v>
      </c>
      <c r="G16">
        <v>6</v>
      </c>
    </row>
    <row r="17" spans="2:3" x14ac:dyDescent="0.25">
      <c r="B17" s="30" t="s">
        <v>69</v>
      </c>
      <c r="C17" s="31">
        <v>25899.69</v>
      </c>
    </row>
    <row r="18" spans="2:3" x14ac:dyDescent="0.25">
      <c r="B18" s="30" t="s">
        <v>70</v>
      </c>
      <c r="C18" s="31">
        <v>27355.119999999999</v>
      </c>
    </row>
    <row r="19" spans="2:3" x14ac:dyDescent="0.25">
      <c r="B19" s="30" t="s">
        <v>71</v>
      </c>
      <c r="C19" s="31">
        <v>18333.66</v>
      </c>
    </row>
    <row r="20" spans="2:3" x14ac:dyDescent="0.25">
      <c r="B20" s="30" t="s">
        <v>72</v>
      </c>
      <c r="C20" s="31">
        <v>20778.009999999998</v>
      </c>
    </row>
    <row r="21" spans="2:3" x14ac:dyDescent="0.25">
      <c r="B21" s="30" t="s">
        <v>73</v>
      </c>
      <c r="C21" s="31">
        <v>41227</v>
      </c>
    </row>
    <row r="22" spans="2:3" x14ac:dyDescent="0.25">
      <c r="B22" s="30" t="s">
        <v>88</v>
      </c>
      <c r="C22" s="31">
        <v>61675.99</v>
      </c>
    </row>
    <row r="23" spans="2:3" x14ac:dyDescent="0.25">
      <c r="B23" s="30" t="s">
        <v>89</v>
      </c>
      <c r="C23" s="31">
        <v>82124.98</v>
      </c>
    </row>
    <row r="24" spans="2:3" x14ac:dyDescent="0.25">
      <c r="B24" s="30" t="s">
        <v>90</v>
      </c>
      <c r="C24" s="31">
        <v>90573.97</v>
      </c>
    </row>
    <row r="25" spans="2:3" x14ac:dyDescent="0.25">
      <c r="B25" s="30" t="s">
        <v>91</v>
      </c>
      <c r="C25" s="31">
        <v>88022.96</v>
      </c>
    </row>
    <row r="26" spans="2:3" x14ac:dyDescent="0.25">
      <c r="B26" s="30" t="s">
        <v>92</v>
      </c>
      <c r="C26" s="31">
        <v>65471.95</v>
      </c>
    </row>
  </sheetData>
  <conditionalFormatting sqref="B14:C26">
    <cfRule type="expression" dxfId="4" priority="2">
      <formula>$B14=$J$4</formula>
    </cfRule>
  </conditionalFormatting>
  <conditionalFormatting sqref="E14:F14">
    <cfRule type="expression" dxfId="3" priority="1">
      <formula>$B14=$J$4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List Box 1">
              <controlPr defaultSize="0" autoLine="0" autoPict="0">
                <anchor moveWithCells="1">
                  <from>
                    <xdr:col>1</xdr:col>
                    <xdr:colOff>600075</xdr:colOff>
                    <xdr:row>1</xdr:row>
                    <xdr:rowOff>0</xdr:rowOff>
                  </from>
                  <to>
                    <xdr:col>3</xdr:col>
                    <xdr:colOff>76200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List Box 3">
              <controlPr defaultSize="0" autoLine="0" autoPict="0">
                <anchor moveWithCells="1">
                  <from>
                    <xdr:col>4</xdr:col>
                    <xdr:colOff>9525</xdr:colOff>
                    <xdr:row>15</xdr:row>
                    <xdr:rowOff>47625</xdr:rowOff>
                  </from>
                  <to>
                    <xdr:col>5</xdr:col>
                    <xdr:colOff>733425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7"/>
  <sheetViews>
    <sheetView topLeftCell="A4" workbookViewId="0">
      <selection activeCell="J7" sqref="J7"/>
    </sheetView>
  </sheetViews>
  <sheetFormatPr defaultRowHeight="15" x14ac:dyDescent="0.25"/>
  <cols>
    <col min="1" max="1" width="12.5703125" bestFit="1" customWidth="1"/>
    <col min="2" max="7" width="16" bestFit="1" customWidth="1"/>
    <col min="8" max="8" width="14.7109375" bestFit="1" customWidth="1"/>
  </cols>
  <sheetData>
    <row r="1" spans="1:8" ht="15.75" hidden="1" x14ac:dyDescent="0.25">
      <c r="A1" s="34" t="s">
        <v>59</v>
      </c>
      <c r="B1" s="34" t="s">
        <v>60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93</v>
      </c>
    </row>
    <row r="2" spans="1:8" ht="15.75" hidden="1" x14ac:dyDescent="0.25">
      <c r="A2" s="38" t="str">
        <f>INDEX($A$20:$G$27,$H2,MATCH(A$1,$A$19:$G$19,0))</f>
        <v>Maria</v>
      </c>
      <c r="B2" s="38">
        <f t="shared" ref="B2:G3" si="0">INDEX($A$20:$G$27,$H2,MATCH(B$1,$A$19:$G$19,0))</f>
        <v>30895.360000000001</v>
      </c>
      <c r="C2" s="38">
        <f t="shared" si="0"/>
        <v>28889.23</v>
      </c>
      <c r="D2" s="38">
        <f t="shared" si="0"/>
        <v>32789</v>
      </c>
      <c r="E2" s="38">
        <f t="shared" si="0"/>
        <v>30541.21</v>
      </c>
      <c r="F2" s="38">
        <f t="shared" si="0"/>
        <v>32789.5</v>
      </c>
      <c r="G2" s="38">
        <f t="shared" si="0"/>
        <v>22581.85</v>
      </c>
      <c r="H2" s="37">
        <v>1</v>
      </c>
    </row>
    <row r="3" spans="1:8" ht="15.75" hidden="1" x14ac:dyDescent="0.25">
      <c r="A3" s="38" t="str">
        <f>INDEX($A$20:$G$27,$H3,MATCH(A$1,$A$19:$G$19,0))</f>
        <v>João</v>
      </c>
      <c r="B3" s="38">
        <f t="shared" si="0"/>
        <v>28354.21</v>
      </c>
      <c r="C3" s="38">
        <f t="shared" si="0"/>
        <v>29258.36</v>
      </c>
      <c r="D3" s="38">
        <f t="shared" si="0"/>
        <v>33258.1</v>
      </c>
      <c r="E3" s="38">
        <f t="shared" si="0"/>
        <v>34210.6</v>
      </c>
      <c r="F3" s="38">
        <f t="shared" si="0"/>
        <v>35124</v>
      </c>
      <c r="G3" s="38">
        <f t="shared" si="0"/>
        <v>34210.6</v>
      </c>
      <c r="H3" s="36">
        <v>2</v>
      </c>
    </row>
    <row r="19" spans="1:7" ht="15.75" x14ac:dyDescent="0.25">
      <c r="A19" s="34" t="s">
        <v>59</v>
      </c>
      <c r="B19" s="34" t="s">
        <v>60</v>
      </c>
      <c r="C19" s="34" t="s">
        <v>61</v>
      </c>
      <c r="D19" s="34" t="s">
        <v>62</v>
      </c>
      <c r="E19" s="34" t="s">
        <v>63</v>
      </c>
      <c r="F19" s="34" t="s">
        <v>64</v>
      </c>
      <c r="G19" s="34" t="s">
        <v>65</v>
      </c>
    </row>
    <row r="20" spans="1:7" ht="15.75" x14ac:dyDescent="0.25">
      <c r="A20" s="35" t="s">
        <v>66</v>
      </c>
      <c r="B20" s="36">
        <v>30895.360000000001</v>
      </c>
      <c r="C20" s="36">
        <v>28889.23</v>
      </c>
      <c r="D20" s="36">
        <v>32789</v>
      </c>
      <c r="E20" s="36">
        <v>30541.21</v>
      </c>
      <c r="F20" s="36">
        <v>32789.5</v>
      </c>
      <c r="G20" s="36">
        <v>22581.85</v>
      </c>
    </row>
    <row r="21" spans="1:7" ht="15.75" x14ac:dyDescent="0.25">
      <c r="A21" s="35" t="s">
        <v>67</v>
      </c>
      <c r="B21" s="36">
        <v>28354.21</v>
      </c>
      <c r="C21" s="36">
        <v>29258.36</v>
      </c>
      <c r="D21" s="36">
        <v>33258.1</v>
      </c>
      <c r="E21" s="36">
        <v>34210.6</v>
      </c>
      <c r="F21" s="36">
        <v>35124</v>
      </c>
      <c r="G21" s="36">
        <v>34210.6</v>
      </c>
    </row>
    <row r="22" spans="1:7" ht="15.75" x14ac:dyDescent="0.25">
      <c r="A22" s="35" t="s">
        <v>68</v>
      </c>
      <c r="B22" s="36">
        <v>35124</v>
      </c>
      <c r="C22" s="36">
        <v>30478.45</v>
      </c>
      <c r="D22" s="36">
        <v>29568.78</v>
      </c>
      <c r="E22" s="36">
        <v>29369.47</v>
      </c>
      <c r="F22" s="36">
        <v>29369.47</v>
      </c>
      <c r="G22" s="36">
        <v>35124</v>
      </c>
    </row>
    <row r="23" spans="1:7" ht="15.75" x14ac:dyDescent="0.25">
      <c r="A23" s="35" t="s">
        <v>69</v>
      </c>
      <c r="B23" s="36">
        <v>25899.69</v>
      </c>
      <c r="C23" s="36">
        <v>30698.09</v>
      </c>
      <c r="D23" s="36">
        <v>28954.37</v>
      </c>
      <c r="E23" s="36">
        <v>32587.99</v>
      </c>
      <c r="F23" s="36">
        <v>27355.119999999999</v>
      </c>
      <c r="G23" s="36">
        <v>26798.28</v>
      </c>
    </row>
    <row r="24" spans="1:7" ht="15.75" x14ac:dyDescent="0.25">
      <c r="A24" s="35" t="s">
        <v>70</v>
      </c>
      <c r="B24" s="36">
        <v>27355.119999999999</v>
      </c>
      <c r="C24" s="36">
        <v>22581.85</v>
      </c>
      <c r="D24" s="36">
        <v>27123.58</v>
      </c>
      <c r="E24" s="36">
        <v>29456.32</v>
      </c>
      <c r="F24" s="36">
        <v>25457.09</v>
      </c>
      <c r="G24" s="36">
        <v>20778.009999999998</v>
      </c>
    </row>
    <row r="25" spans="1:7" ht="15.75" x14ac:dyDescent="0.25">
      <c r="A25" s="35" t="s">
        <v>71</v>
      </c>
      <c r="B25" s="36">
        <v>18333.66</v>
      </c>
      <c r="C25" s="36">
        <v>22457.05</v>
      </c>
      <c r="D25" s="36">
        <v>25457.09</v>
      </c>
      <c r="E25" s="36">
        <v>26798.28</v>
      </c>
      <c r="F25" s="36">
        <v>20778.009999999998</v>
      </c>
      <c r="G25" s="36">
        <v>25893.14</v>
      </c>
    </row>
    <row r="26" spans="1:7" ht="15.75" x14ac:dyDescent="0.25">
      <c r="A26" s="35" t="s">
        <v>72</v>
      </c>
      <c r="B26" s="36">
        <v>20778.009999999998</v>
      </c>
      <c r="C26" s="36">
        <v>25893.14</v>
      </c>
      <c r="D26" s="36">
        <v>22778.38</v>
      </c>
      <c r="E26" s="36">
        <v>21697.27</v>
      </c>
      <c r="F26" s="36">
        <v>30895.360000000001</v>
      </c>
      <c r="G26" s="36">
        <v>28954.37</v>
      </c>
    </row>
    <row r="27" spans="1:7" ht="15.75" x14ac:dyDescent="0.25">
      <c r="A27" s="35" t="s">
        <v>73</v>
      </c>
      <c r="B27" s="36">
        <v>41227</v>
      </c>
      <c r="C27" s="36">
        <v>32789.5</v>
      </c>
      <c r="D27" s="36">
        <v>37841.21</v>
      </c>
      <c r="E27" s="36">
        <v>40332.89</v>
      </c>
      <c r="F27" s="36">
        <v>22778.38</v>
      </c>
      <c r="G27" s="36">
        <v>30478.45</v>
      </c>
    </row>
  </sheetData>
  <conditionalFormatting sqref="A20:G27">
    <cfRule type="expression" dxfId="2" priority="1">
      <formula>$A20=$A$3</formula>
    </cfRule>
    <cfRule type="expression" dxfId="1" priority="2">
      <formula>$A20=$A$2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>
                <anchor>
                  <from>
                    <xdr:col>4</xdr:col>
                    <xdr:colOff>447675</xdr:colOff>
                    <xdr:row>3</xdr:row>
                    <xdr:rowOff>114300</xdr:rowOff>
                  </from>
                  <to>
                    <xdr:col>5</xdr:col>
                    <xdr:colOff>457200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Drop Down 2">
              <controlPr defaultSize="0" autoLine="0" autoPict="0">
                <anchor>
                  <from>
                    <xdr:col>5</xdr:col>
                    <xdr:colOff>914400</xdr:colOff>
                    <xdr:row>3</xdr:row>
                    <xdr:rowOff>114300</xdr:rowOff>
                  </from>
                  <to>
                    <xdr:col>6</xdr:col>
                    <xdr:colOff>923925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15"/>
  <sheetViews>
    <sheetView tabSelected="1" workbookViewId="0">
      <selection activeCell="C20" sqref="C20"/>
    </sheetView>
  </sheetViews>
  <sheetFormatPr defaultRowHeight="15" x14ac:dyDescent="0.25"/>
  <cols>
    <col min="1" max="1" width="11.42578125" bestFit="1" customWidth="1"/>
    <col min="2" max="7" width="13.28515625" bestFit="1" customWidth="1"/>
    <col min="9" max="9" width="11.42578125" bestFit="1" customWidth="1"/>
    <col min="10" max="15" width="14.5703125" bestFit="1" customWidth="1"/>
    <col min="16" max="16" width="13.28515625" bestFit="1" customWidth="1"/>
  </cols>
  <sheetData>
    <row r="1" spans="1:16" ht="26.25" x14ac:dyDescent="0.4">
      <c r="A1" s="79" t="s">
        <v>94</v>
      </c>
      <c r="B1" s="79"/>
      <c r="C1" s="79"/>
      <c r="D1" s="79"/>
      <c r="E1" s="79"/>
      <c r="F1" s="79"/>
      <c r="G1" s="79"/>
      <c r="I1" s="29" t="s">
        <v>59</v>
      </c>
      <c r="J1" s="29" t="s">
        <v>87</v>
      </c>
      <c r="K1" s="29" t="s">
        <v>95</v>
      </c>
      <c r="L1" s="29" t="s">
        <v>96</v>
      </c>
      <c r="M1" s="29" t="s">
        <v>97</v>
      </c>
      <c r="N1" s="29" t="s">
        <v>98</v>
      </c>
      <c r="O1" s="29" t="s">
        <v>99</v>
      </c>
      <c r="P1" s="29" t="s">
        <v>93</v>
      </c>
    </row>
    <row r="2" spans="1:16" x14ac:dyDescent="0.25">
      <c r="A2" s="29" t="s">
        <v>59</v>
      </c>
      <c r="B2" s="29" t="s">
        <v>87</v>
      </c>
      <c r="C2" s="29" t="s">
        <v>95</v>
      </c>
      <c r="D2" s="29" t="s">
        <v>96</v>
      </c>
      <c r="E2" s="29" t="s">
        <v>97</v>
      </c>
      <c r="F2" s="29" t="s">
        <v>98</v>
      </c>
      <c r="G2" s="29" t="s">
        <v>99</v>
      </c>
      <c r="I2" s="30" t="str">
        <f>INDEX($A$3:$G$15,$P$2,MATCH(I1,$A$2:$G$2,0))</f>
        <v>Michele</v>
      </c>
      <c r="J2" s="40">
        <f t="shared" ref="J2:O2" si="0">INDEX($A$3:$G$15,$P$2,MATCH(J1,$A$2:$G$2,0))</f>
        <v>20778.009999999998</v>
      </c>
      <c r="K2" s="40">
        <f t="shared" si="0"/>
        <v>25893.14</v>
      </c>
      <c r="L2" s="40">
        <f t="shared" si="0"/>
        <v>22778.38</v>
      </c>
      <c r="M2" s="40">
        <f t="shared" si="0"/>
        <v>21697.27</v>
      </c>
      <c r="N2" s="40">
        <f t="shared" si="0"/>
        <v>30895.360000000001</v>
      </c>
      <c r="O2" s="40">
        <f t="shared" si="0"/>
        <v>28954.37</v>
      </c>
      <c r="P2" s="39">
        <v>7</v>
      </c>
    </row>
    <row r="3" spans="1:16" x14ac:dyDescent="0.25">
      <c r="A3" s="30" t="s">
        <v>66</v>
      </c>
      <c r="B3" s="31">
        <v>82124.98</v>
      </c>
      <c r="C3" s="31">
        <v>28889.23</v>
      </c>
      <c r="D3" s="31">
        <v>32789</v>
      </c>
      <c r="E3" s="31">
        <v>30541.21</v>
      </c>
      <c r="F3" s="31">
        <v>32789.5</v>
      </c>
      <c r="G3" s="31">
        <v>22581.85</v>
      </c>
    </row>
    <row r="4" spans="1:16" x14ac:dyDescent="0.25">
      <c r="A4" s="30" t="s">
        <v>67</v>
      </c>
      <c r="B4" s="31">
        <v>28354.21</v>
      </c>
      <c r="C4" s="31">
        <v>29258.36</v>
      </c>
      <c r="D4" s="31">
        <v>33258.1</v>
      </c>
      <c r="E4" s="31">
        <v>34210.6</v>
      </c>
      <c r="F4" s="31">
        <v>35124</v>
      </c>
      <c r="G4" s="31">
        <v>34210.6</v>
      </c>
    </row>
    <row r="5" spans="1:16" x14ac:dyDescent="0.25">
      <c r="A5" s="30" t="s">
        <v>68</v>
      </c>
      <c r="B5" s="31">
        <v>35124</v>
      </c>
      <c r="C5" s="31">
        <v>30478.45</v>
      </c>
      <c r="D5" s="31">
        <v>29568.78</v>
      </c>
      <c r="E5" s="31">
        <v>77604.13</v>
      </c>
      <c r="F5" s="31">
        <v>29369.47</v>
      </c>
      <c r="G5" s="31">
        <v>35124</v>
      </c>
    </row>
    <row r="6" spans="1:16" x14ac:dyDescent="0.25">
      <c r="A6" s="30" t="s">
        <v>69</v>
      </c>
      <c r="B6" s="31">
        <v>25899.69</v>
      </c>
      <c r="C6" s="31">
        <v>30698.09</v>
      </c>
      <c r="D6" s="31">
        <v>83029.7</v>
      </c>
      <c r="E6" s="31">
        <v>32587.99</v>
      </c>
      <c r="F6" s="31">
        <v>27355.119999999999</v>
      </c>
      <c r="G6" s="31">
        <v>26798.28</v>
      </c>
    </row>
    <row r="7" spans="1:16" x14ac:dyDescent="0.25">
      <c r="A7" s="30" t="s">
        <v>70</v>
      </c>
      <c r="B7" s="31">
        <v>27355.119999999999</v>
      </c>
      <c r="C7" s="31">
        <v>60374.94</v>
      </c>
      <c r="D7" s="31">
        <v>27123.58</v>
      </c>
      <c r="E7" s="31">
        <v>29456.32</v>
      </c>
      <c r="F7" s="31">
        <v>25457.09</v>
      </c>
      <c r="G7" s="31">
        <v>20778.009999999998</v>
      </c>
    </row>
    <row r="8" spans="1:16" x14ac:dyDescent="0.25">
      <c r="A8" s="30" t="s">
        <v>71</v>
      </c>
      <c r="B8" s="31">
        <v>18333.66</v>
      </c>
      <c r="C8" s="31">
        <v>22457.05</v>
      </c>
      <c r="D8" s="31">
        <v>25457.09</v>
      </c>
      <c r="E8" s="31">
        <v>26798.28</v>
      </c>
      <c r="F8" s="31">
        <v>20778.009999999998</v>
      </c>
      <c r="G8" s="31">
        <v>25893.14</v>
      </c>
    </row>
    <row r="9" spans="1:16" x14ac:dyDescent="0.25">
      <c r="A9" s="30" t="s">
        <v>72</v>
      </c>
      <c r="B9" s="31">
        <v>20778.009999999998</v>
      </c>
      <c r="C9" s="31">
        <v>25893.14</v>
      </c>
      <c r="D9" s="31">
        <v>22778.38</v>
      </c>
      <c r="E9" s="31">
        <v>21697.27</v>
      </c>
      <c r="F9" s="31">
        <v>30895.360000000001</v>
      </c>
      <c r="G9" s="31">
        <v>28954.37</v>
      </c>
    </row>
    <row r="10" spans="1:16" x14ac:dyDescent="0.25">
      <c r="A10" s="30" t="s">
        <v>73</v>
      </c>
      <c r="B10" s="31">
        <v>41227</v>
      </c>
      <c r="C10" s="31">
        <v>32789.5</v>
      </c>
      <c r="D10" s="31">
        <v>37841.21</v>
      </c>
      <c r="E10" s="31">
        <v>40332.89</v>
      </c>
      <c r="F10" s="31">
        <v>22778.38</v>
      </c>
      <c r="G10" s="31">
        <v>30478.45</v>
      </c>
    </row>
    <row r="11" spans="1:16" x14ac:dyDescent="0.25">
      <c r="A11" s="30" t="s">
        <v>88</v>
      </c>
      <c r="B11" s="31">
        <v>61675.99</v>
      </c>
      <c r="C11" s="31">
        <v>39685.86</v>
      </c>
      <c r="D11" s="31">
        <v>52904.04</v>
      </c>
      <c r="E11" s="31">
        <v>58968.51</v>
      </c>
      <c r="F11" s="31">
        <v>14661.4</v>
      </c>
      <c r="G11" s="31">
        <v>32002.53</v>
      </c>
    </row>
    <row r="12" spans="1:16" x14ac:dyDescent="0.25">
      <c r="A12" s="30" t="s">
        <v>89</v>
      </c>
      <c r="B12" s="31">
        <v>82124.98</v>
      </c>
      <c r="C12" s="31">
        <v>46582.22</v>
      </c>
      <c r="D12" s="31">
        <v>67966.87</v>
      </c>
      <c r="E12" s="31">
        <v>77604.13</v>
      </c>
      <c r="F12" s="31">
        <v>22778.38</v>
      </c>
      <c r="G12" s="31">
        <v>33526.61</v>
      </c>
    </row>
    <row r="13" spans="1:16" x14ac:dyDescent="0.25">
      <c r="A13" s="30" t="s">
        <v>90</v>
      </c>
      <c r="B13" s="31">
        <v>90573.97</v>
      </c>
      <c r="C13" s="31">
        <v>53478.58</v>
      </c>
      <c r="D13" s="31">
        <v>83029.7</v>
      </c>
      <c r="E13" s="31">
        <v>96239.75</v>
      </c>
      <c r="F13" s="31">
        <v>17806.52</v>
      </c>
      <c r="G13" s="31">
        <v>35050.69</v>
      </c>
    </row>
    <row r="14" spans="1:16" x14ac:dyDescent="0.25">
      <c r="A14" s="30" t="s">
        <v>91</v>
      </c>
      <c r="B14" s="31">
        <v>88022.96</v>
      </c>
      <c r="C14" s="31">
        <v>60374.94</v>
      </c>
      <c r="D14" s="31">
        <v>98092.53</v>
      </c>
      <c r="E14" s="31">
        <v>91875.37</v>
      </c>
      <c r="F14" s="31">
        <v>9689.5400000000009</v>
      </c>
      <c r="G14" s="31">
        <v>36574.769999999997</v>
      </c>
    </row>
    <row r="15" spans="1:16" x14ac:dyDescent="0.25">
      <c r="A15" s="30" t="s">
        <v>92</v>
      </c>
      <c r="B15" s="31">
        <v>65471.95</v>
      </c>
      <c r="C15" s="31">
        <v>67271.3</v>
      </c>
      <c r="D15" s="31">
        <v>87155.36</v>
      </c>
      <c r="E15" s="31">
        <v>63510.99</v>
      </c>
      <c r="F15" s="31">
        <v>17806.52</v>
      </c>
      <c r="G15" s="31">
        <v>38098.85</v>
      </c>
    </row>
  </sheetData>
  <mergeCells count="1">
    <mergeCell ref="A1:G1"/>
  </mergeCells>
  <conditionalFormatting sqref="A3:G15">
    <cfRule type="expression" dxfId="0" priority="1">
      <formula>$A3=$I$2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Scroll Bar 1">
              <controlPr defaultSize="0" autoPict="0">
                <anchor>
                  <from>
                    <xdr:col>12</xdr:col>
                    <xdr:colOff>390525</xdr:colOff>
                    <xdr:row>2</xdr:row>
                    <xdr:rowOff>171450</xdr:rowOff>
                  </from>
                  <to>
                    <xdr:col>12</xdr:col>
                    <xdr:colOff>609600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Cadastro</vt:lpstr>
      <vt:lpstr>Lista de clientes</vt:lpstr>
      <vt:lpstr>Dados</vt:lpstr>
      <vt:lpstr>Dados1</vt:lpstr>
      <vt:lpstr>Pesquisa Satisfação</vt:lpstr>
      <vt:lpstr>Desafio Pesquisa Satisfação</vt:lpstr>
      <vt:lpstr>Desafio Entrevista de emprego</vt:lpstr>
      <vt:lpstr>Desafio Form.Condicional</vt:lpstr>
      <vt:lpstr>Desafio Cx Listagem</vt:lpstr>
      <vt:lpstr>Cx de Combinação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Iasmin Borges</dc:creator>
  <cp:lastModifiedBy>Iasmin Borges Soares</cp:lastModifiedBy>
  <cp:lastPrinted>2020-11-29T18:52:06Z</cp:lastPrinted>
  <dcterms:created xsi:type="dcterms:W3CDTF">2020-11-22T18:27:08Z</dcterms:created>
  <dcterms:modified xsi:type="dcterms:W3CDTF">2020-12-31T19:16:45Z</dcterms:modified>
</cp:coreProperties>
</file>